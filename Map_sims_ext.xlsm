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nsferências\Surrogate_carreira\"/>
    </mc:Choice>
  </mc:AlternateContent>
  <xr:revisionPtr revIDLastSave="0" documentId="13_ncr:1_{DB483006-D128-4C1C-A500-D9E9951BEE61}" xr6:coauthVersionLast="47" xr6:coauthVersionMax="47" xr10:uidLastSave="{00000000-0000-0000-0000-000000000000}"/>
  <bookViews>
    <workbookView xWindow="-120" yWindow="-120" windowWidth="29040" windowHeight="15840" tabRatio="587" xr2:uid="{2D6F5C53-7577-4912-AD45-A8519E6BA2FA}"/>
  </bookViews>
  <sheets>
    <sheet name="CFD-Simulation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7" i="1" l="1"/>
  <c r="AB7" i="1"/>
  <c r="BV121" i="1"/>
  <c r="BV120" i="1"/>
  <c r="BV119" i="1"/>
  <c r="BV118" i="1"/>
  <c r="BV117" i="1"/>
  <c r="BV116" i="1" l="1"/>
  <c r="BV115" i="1"/>
  <c r="BV114" i="1"/>
  <c r="BV113" i="1"/>
  <c r="BV112" i="1"/>
  <c r="BV111" i="1"/>
  <c r="BV110" i="1"/>
  <c r="BV109" i="1"/>
  <c r="BV108" i="1"/>
  <c r="BV107" i="1"/>
  <c r="BV106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X106" i="1"/>
  <c r="R106" i="1" s="1"/>
  <c r="X107" i="1"/>
  <c r="Q107" i="1" s="1"/>
  <c r="X108" i="1"/>
  <c r="Q108" i="1" s="1"/>
  <c r="X109" i="1"/>
  <c r="R109" i="1" s="1"/>
  <c r="X110" i="1"/>
  <c r="R110" i="1" s="1"/>
  <c r="X111" i="1"/>
  <c r="R111" i="1" s="1"/>
  <c r="X112" i="1"/>
  <c r="R112" i="1" s="1"/>
  <c r="X113" i="1"/>
  <c r="R113" i="1" s="1"/>
  <c r="X114" i="1"/>
  <c r="R114" i="1" s="1"/>
  <c r="X115" i="1"/>
  <c r="R115" i="1" s="1"/>
  <c r="X116" i="1"/>
  <c r="Q116" i="1" s="1"/>
  <c r="X117" i="1"/>
  <c r="R117" i="1" s="1"/>
  <c r="X118" i="1"/>
  <c r="R118" i="1" s="1"/>
  <c r="X119" i="1"/>
  <c r="R119" i="1" s="1"/>
  <c r="X120" i="1"/>
  <c r="R120" i="1" s="1"/>
  <c r="X121" i="1"/>
  <c r="R121" i="1" s="1"/>
  <c r="X122" i="1"/>
  <c r="R122" i="1" s="1"/>
  <c r="X123" i="1"/>
  <c r="R123" i="1" s="1"/>
  <c r="X124" i="1"/>
  <c r="R124" i="1" s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R107" i="1"/>
  <c r="Q118" i="1"/>
  <c r="Q121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BV105" i="1"/>
  <c r="BV104" i="1"/>
  <c r="BV103" i="1"/>
  <c r="BV102" i="1"/>
  <c r="BV101" i="1"/>
  <c r="BV100" i="1"/>
  <c r="BV99" i="1"/>
  <c r="BV98" i="1"/>
  <c r="BV97" i="1"/>
  <c r="BV96" i="1"/>
  <c r="BV95" i="1"/>
  <c r="BV94" i="1"/>
  <c r="BV93" i="1"/>
  <c r="BV92" i="1"/>
  <c r="BV91" i="1"/>
  <c r="BV90" i="1"/>
  <c r="BV89" i="1"/>
  <c r="BV88" i="1"/>
  <c r="BV87" i="1"/>
  <c r="BV86" i="1"/>
  <c r="BV85" i="1"/>
  <c r="BV84" i="1"/>
  <c r="BV83" i="1"/>
  <c r="BV82" i="1"/>
  <c r="CM63" i="1"/>
  <c r="BV63" i="1"/>
  <c r="AU63" i="1"/>
  <c r="AT63" i="1"/>
  <c r="AS63" i="1"/>
  <c r="AR63" i="1"/>
  <c r="AM63" i="1"/>
  <c r="AL63" i="1"/>
  <c r="AK63" i="1"/>
  <c r="AJ63" i="1"/>
  <c r="U63" i="1"/>
  <c r="P63" i="1"/>
  <c r="N63" i="1"/>
  <c r="BV80" i="1"/>
  <c r="BV81" i="1"/>
  <c r="BV79" i="1"/>
  <c r="BV78" i="1"/>
  <c r="BV77" i="1"/>
  <c r="BV76" i="1"/>
  <c r="BV75" i="1"/>
  <c r="BV74" i="1"/>
  <c r="BV73" i="1"/>
  <c r="BV72" i="1"/>
  <c r="BV71" i="1"/>
  <c r="BV70" i="1"/>
  <c r="BV69" i="1"/>
  <c r="BV68" i="1"/>
  <c r="BV67" i="1"/>
  <c r="AT30" i="1"/>
  <c r="AR30" i="1"/>
  <c r="AS30" i="1"/>
  <c r="AJ30" i="1"/>
  <c r="AL30" i="1"/>
  <c r="BV30" i="1"/>
  <c r="CM30" i="1"/>
  <c r="BV29" i="1"/>
  <c r="BV28" i="1"/>
  <c r="BV27" i="1"/>
  <c r="BV26" i="1"/>
  <c r="AT25" i="1"/>
  <c r="AR25" i="1"/>
  <c r="AL25" i="1"/>
  <c r="AJ25" i="1"/>
  <c r="BV25" i="1"/>
  <c r="CM25" i="1"/>
  <c r="AT24" i="1"/>
  <c r="AR24" i="1"/>
  <c r="AL24" i="1"/>
  <c r="AJ24" i="1"/>
  <c r="BV24" i="1"/>
  <c r="CM24" i="1"/>
  <c r="N24" i="1"/>
  <c r="P24" i="1"/>
  <c r="W24" i="1" s="1"/>
  <c r="AT23" i="1"/>
  <c r="AR23" i="1"/>
  <c r="AL23" i="1"/>
  <c r="AJ23" i="1"/>
  <c r="BV23" i="1"/>
  <c r="CM23" i="1"/>
  <c r="BV22" i="1"/>
  <c r="AT22" i="1"/>
  <c r="AR22" i="1"/>
  <c r="AL22" i="1"/>
  <c r="AJ22" i="1"/>
  <c r="CM22" i="1"/>
  <c r="BV21" i="1"/>
  <c r="AT21" i="1"/>
  <c r="AR21" i="1"/>
  <c r="AL21" i="1"/>
  <c r="AJ21" i="1"/>
  <c r="CM21" i="1"/>
  <c r="BV20" i="1"/>
  <c r="AT20" i="1"/>
  <c r="AR20" i="1"/>
  <c r="AL20" i="1"/>
  <c r="AK25" i="1"/>
  <c r="AK24" i="1"/>
  <c r="AK23" i="1"/>
  <c r="AK22" i="1"/>
  <c r="AK21" i="1"/>
  <c r="AK20" i="1"/>
  <c r="AJ20" i="1"/>
  <c r="CM20" i="1"/>
  <c r="BV19" i="1"/>
  <c r="AT19" i="1"/>
  <c r="AT18" i="1"/>
  <c r="AT17" i="1"/>
  <c r="AR19" i="1"/>
  <c r="AL18" i="1"/>
  <c r="AL17" i="1"/>
  <c r="AL19" i="1"/>
  <c r="AR18" i="1"/>
  <c r="AR17" i="1"/>
  <c r="AM30" i="1"/>
  <c r="AK30" i="1"/>
  <c r="AM25" i="1"/>
  <c r="AM24" i="1"/>
  <c r="AM23" i="1"/>
  <c r="AM22" i="1"/>
  <c r="AM21" i="1"/>
  <c r="AM20" i="1"/>
  <c r="AM19" i="1"/>
  <c r="AM18" i="1"/>
  <c r="AM17" i="1"/>
  <c r="AK19" i="1"/>
  <c r="AK18" i="1"/>
  <c r="AK17" i="1"/>
  <c r="AJ19" i="1"/>
  <c r="AJ18" i="1"/>
  <c r="AJ17" i="1"/>
  <c r="CM19" i="1"/>
  <c r="CM18" i="1"/>
  <c r="BV18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63" i="1"/>
  <c r="W31" i="1"/>
  <c r="W32" i="1"/>
  <c r="W33" i="1"/>
  <c r="W34" i="1"/>
  <c r="W35" i="1"/>
  <c r="W36" i="1"/>
  <c r="W37" i="1"/>
  <c r="W38" i="1"/>
  <c r="W39" i="1"/>
  <c r="W40" i="1"/>
  <c r="W41" i="1"/>
  <c r="W26" i="1"/>
  <c r="W27" i="1"/>
  <c r="W28" i="1"/>
  <c r="W29" i="1"/>
  <c r="BV17" i="1"/>
  <c r="BV41" i="1"/>
  <c r="BV40" i="1"/>
  <c r="BV39" i="1"/>
  <c r="BV38" i="1"/>
  <c r="BV37" i="1"/>
  <c r="BV36" i="1"/>
  <c r="BV35" i="1"/>
  <c r="BV34" i="1"/>
  <c r="BV33" i="1"/>
  <c r="BV32" i="1"/>
  <c r="BV31" i="1"/>
  <c r="P30" i="1"/>
  <c r="W30" i="1" s="1"/>
  <c r="CM66" i="1"/>
  <c r="BV66" i="1"/>
  <c r="AU66" i="1"/>
  <c r="AT66" i="1"/>
  <c r="AS66" i="1"/>
  <c r="AR66" i="1"/>
  <c r="AM66" i="1"/>
  <c r="AL66" i="1"/>
  <c r="AK66" i="1"/>
  <c r="AJ66" i="1"/>
  <c r="U66" i="1"/>
  <c r="P66" i="1"/>
  <c r="W66" i="1" s="1"/>
  <c r="N66" i="1"/>
  <c r="CM65" i="1"/>
  <c r="BV65" i="1"/>
  <c r="AU65" i="1"/>
  <c r="AT65" i="1"/>
  <c r="AS65" i="1"/>
  <c r="AR65" i="1"/>
  <c r="AM65" i="1"/>
  <c r="AL65" i="1"/>
  <c r="AK65" i="1"/>
  <c r="AJ65" i="1"/>
  <c r="U65" i="1"/>
  <c r="P65" i="1"/>
  <c r="W65" i="1" s="1"/>
  <c r="N65" i="1"/>
  <c r="CM64" i="1"/>
  <c r="BV64" i="1"/>
  <c r="AU64" i="1"/>
  <c r="AT64" i="1"/>
  <c r="AS64" i="1"/>
  <c r="AR64" i="1"/>
  <c r="AM64" i="1"/>
  <c r="AL64" i="1"/>
  <c r="AK64" i="1"/>
  <c r="AJ64" i="1"/>
  <c r="U64" i="1"/>
  <c r="P64" i="1"/>
  <c r="W64" i="1" s="1"/>
  <c r="N64" i="1"/>
  <c r="CM62" i="1"/>
  <c r="BV62" i="1"/>
  <c r="AU62" i="1"/>
  <c r="AT62" i="1"/>
  <c r="AS62" i="1"/>
  <c r="AR62" i="1"/>
  <c r="AM62" i="1"/>
  <c r="AL62" i="1"/>
  <c r="AK62" i="1"/>
  <c r="AJ62" i="1"/>
  <c r="U62" i="1"/>
  <c r="P62" i="1"/>
  <c r="W62" i="1" s="1"/>
  <c r="N62" i="1"/>
  <c r="CM61" i="1"/>
  <c r="BV61" i="1"/>
  <c r="AU61" i="1"/>
  <c r="AT61" i="1"/>
  <c r="AS61" i="1"/>
  <c r="AR61" i="1"/>
  <c r="AM61" i="1"/>
  <c r="AL61" i="1"/>
  <c r="AK61" i="1"/>
  <c r="AJ61" i="1"/>
  <c r="U61" i="1"/>
  <c r="P61" i="1"/>
  <c r="W61" i="1" s="1"/>
  <c r="N61" i="1"/>
  <c r="CM60" i="1"/>
  <c r="BV60" i="1"/>
  <c r="AU60" i="1"/>
  <c r="AT60" i="1"/>
  <c r="AS60" i="1"/>
  <c r="AR60" i="1"/>
  <c r="AM60" i="1"/>
  <c r="AL60" i="1"/>
  <c r="AK60" i="1"/>
  <c r="AJ60" i="1"/>
  <c r="U60" i="1"/>
  <c r="P60" i="1"/>
  <c r="W60" i="1" s="1"/>
  <c r="N60" i="1"/>
  <c r="CM59" i="1"/>
  <c r="BV59" i="1"/>
  <c r="AU59" i="1"/>
  <c r="AT59" i="1"/>
  <c r="AS59" i="1"/>
  <c r="AR59" i="1"/>
  <c r="AM59" i="1"/>
  <c r="AL59" i="1"/>
  <c r="AK59" i="1"/>
  <c r="AJ59" i="1"/>
  <c r="U59" i="1"/>
  <c r="P59" i="1"/>
  <c r="W59" i="1" s="1"/>
  <c r="N59" i="1"/>
  <c r="CM58" i="1"/>
  <c r="BV58" i="1"/>
  <c r="AU58" i="1"/>
  <c r="AT58" i="1"/>
  <c r="AS58" i="1"/>
  <c r="AR58" i="1"/>
  <c r="AM58" i="1"/>
  <c r="AL58" i="1"/>
  <c r="AK58" i="1"/>
  <c r="AJ58" i="1"/>
  <c r="U58" i="1"/>
  <c r="P58" i="1"/>
  <c r="W58" i="1" s="1"/>
  <c r="N58" i="1"/>
  <c r="CM57" i="1"/>
  <c r="BV57" i="1"/>
  <c r="AU57" i="1"/>
  <c r="AT57" i="1"/>
  <c r="AS57" i="1"/>
  <c r="AR57" i="1"/>
  <c r="AM57" i="1"/>
  <c r="AL57" i="1"/>
  <c r="AK57" i="1"/>
  <c r="AJ57" i="1"/>
  <c r="U57" i="1"/>
  <c r="P57" i="1"/>
  <c r="W57" i="1" s="1"/>
  <c r="N57" i="1"/>
  <c r="CM56" i="1"/>
  <c r="BV56" i="1"/>
  <c r="AU56" i="1"/>
  <c r="AT56" i="1"/>
  <c r="AS56" i="1"/>
  <c r="AR56" i="1"/>
  <c r="AM56" i="1"/>
  <c r="AL56" i="1"/>
  <c r="AK56" i="1"/>
  <c r="AJ56" i="1"/>
  <c r="U56" i="1"/>
  <c r="P56" i="1"/>
  <c r="W56" i="1" s="1"/>
  <c r="N56" i="1"/>
  <c r="CM55" i="1"/>
  <c r="BV55" i="1"/>
  <c r="AU55" i="1"/>
  <c r="AT55" i="1"/>
  <c r="AS55" i="1"/>
  <c r="AR55" i="1"/>
  <c r="AM55" i="1"/>
  <c r="AL55" i="1"/>
  <c r="AK55" i="1"/>
  <c r="AJ55" i="1"/>
  <c r="U55" i="1"/>
  <c r="P55" i="1"/>
  <c r="W55" i="1" s="1"/>
  <c r="N55" i="1"/>
  <c r="CM54" i="1"/>
  <c r="BV54" i="1"/>
  <c r="AU54" i="1"/>
  <c r="AT54" i="1"/>
  <c r="AS54" i="1"/>
  <c r="AR54" i="1"/>
  <c r="AM54" i="1"/>
  <c r="AL54" i="1"/>
  <c r="AK54" i="1"/>
  <c r="AJ54" i="1"/>
  <c r="U54" i="1"/>
  <c r="P54" i="1"/>
  <c r="W54" i="1" s="1"/>
  <c r="N54" i="1"/>
  <c r="CM53" i="1"/>
  <c r="BV53" i="1"/>
  <c r="AU53" i="1"/>
  <c r="AT53" i="1"/>
  <c r="AS53" i="1"/>
  <c r="AR53" i="1"/>
  <c r="AM53" i="1"/>
  <c r="AL53" i="1"/>
  <c r="AK53" i="1"/>
  <c r="AJ53" i="1"/>
  <c r="U53" i="1"/>
  <c r="P53" i="1"/>
  <c r="W53" i="1" s="1"/>
  <c r="N53" i="1"/>
  <c r="CM52" i="1"/>
  <c r="BV52" i="1"/>
  <c r="AU52" i="1"/>
  <c r="AT52" i="1"/>
  <c r="AS52" i="1"/>
  <c r="AR52" i="1"/>
  <c r="AM52" i="1"/>
  <c r="AL52" i="1"/>
  <c r="AK52" i="1"/>
  <c r="AJ52" i="1"/>
  <c r="U52" i="1"/>
  <c r="P52" i="1"/>
  <c r="W52" i="1" s="1"/>
  <c r="N52" i="1"/>
  <c r="CM51" i="1"/>
  <c r="BV51" i="1"/>
  <c r="AU51" i="1"/>
  <c r="AT51" i="1"/>
  <c r="AS51" i="1"/>
  <c r="AR51" i="1"/>
  <c r="AM51" i="1"/>
  <c r="AL51" i="1"/>
  <c r="AK51" i="1"/>
  <c r="AJ51" i="1"/>
  <c r="U51" i="1"/>
  <c r="P51" i="1"/>
  <c r="W51" i="1" s="1"/>
  <c r="N51" i="1"/>
  <c r="CM50" i="1"/>
  <c r="BV50" i="1"/>
  <c r="AU50" i="1"/>
  <c r="AT50" i="1"/>
  <c r="AS50" i="1"/>
  <c r="AR50" i="1"/>
  <c r="AM50" i="1"/>
  <c r="AL50" i="1"/>
  <c r="AK50" i="1"/>
  <c r="AJ50" i="1"/>
  <c r="U50" i="1"/>
  <c r="P50" i="1"/>
  <c r="W50" i="1" s="1"/>
  <c r="N50" i="1"/>
  <c r="CM49" i="1"/>
  <c r="BV49" i="1"/>
  <c r="AU49" i="1"/>
  <c r="AT49" i="1"/>
  <c r="AS49" i="1"/>
  <c r="AR49" i="1"/>
  <c r="AM49" i="1"/>
  <c r="AL49" i="1"/>
  <c r="AK49" i="1"/>
  <c r="AJ49" i="1"/>
  <c r="U49" i="1"/>
  <c r="P49" i="1"/>
  <c r="W49" i="1" s="1"/>
  <c r="N49" i="1"/>
  <c r="CM48" i="1"/>
  <c r="BV48" i="1"/>
  <c r="AU48" i="1"/>
  <c r="AT48" i="1"/>
  <c r="AS48" i="1"/>
  <c r="AR48" i="1"/>
  <c r="AM48" i="1"/>
  <c r="AL48" i="1"/>
  <c r="AK48" i="1"/>
  <c r="AJ48" i="1"/>
  <c r="U48" i="1"/>
  <c r="P48" i="1"/>
  <c r="W48" i="1" s="1"/>
  <c r="N48" i="1"/>
  <c r="CM47" i="1"/>
  <c r="BV47" i="1"/>
  <c r="AU47" i="1"/>
  <c r="AT47" i="1"/>
  <c r="AS47" i="1"/>
  <c r="AR47" i="1"/>
  <c r="AM47" i="1"/>
  <c r="AL47" i="1"/>
  <c r="AK47" i="1"/>
  <c r="AJ47" i="1"/>
  <c r="U47" i="1"/>
  <c r="P47" i="1"/>
  <c r="W47" i="1" s="1"/>
  <c r="N47" i="1"/>
  <c r="CM46" i="1"/>
  <c r="BV46" i="1"/>
  <c r="AU46" i="1"/>
  <c r="AT46" i="1"/>
  <c r="AS46" i="1"/>
  <c r="AR46" i="1"/>
  <c r="AM46" i="1"/>
  <c r="AL46" i="1"/>
  <c r="AK46" i="1"/>
  <c r="AJ46" i="1"/>
  <c r="U46" i="1"/>
  <c r="P46" i="1"/>
  <c r="W46" i="1" s="1"/>
  <c r="N46" i="1"/>
  <c r="CM45" i="1"/>
  <c r="BV45" i="1"/>
  <c r="AU45" i="1"/>
  <c r="AT45" i="1"/>
  <c r="AS45" i="1"/>
  <c r="AR45" i="1"/>
  <c r="AM45" i="1"/>
  <c r="AL45" i="1"/>
  <c r="AK45" i="1"/>
  <c r="AJ45" i="1"/>
  <c r="U45" i="1"/>
  <c r="P45" i="1"/>
  <c r="W45" i="1" s="1"/>
  <c r="N45" i="1"/>
  <c r="CM44" i="1"/>
  <c r="BV44" i="1"/>
  <c r="AU44" i="1"/>
  <c r="AT44" i="1"/>
  <c r="AS44" i="1"/>
  <c r="AR44" i="1"/>
  <c r="AM44" i="1"/>
  <c r="AL44" i="1"/>
  <c r="AK44" i="1"/>
  <c r="AJ44" i="1"/>
  <c r="U44" i="1"/>
  <c r="P44" i="1"/>
  <c r="W44" i="1" s="1"/>
  <c r="N44" i="1"/>
  <c r="CM43" i="1"/>
  <c r="BV43" i="1"/>
  <c r="AU43" i="1"/>
  <c r="AT43" i="1"/>
  <c r="AS43" i="1"/>
  <c r="AR43" i="1"/>
  <c r="AM43" i="1"/>
  <c r="AL43" i="1"/>
  <c r="AK43" i="1"/>
  <c r="AJ43" i="1"/>
  <c r="U43" i="1"/>
  <c r="P43" i="1"/>
  <c r="W43" i="1" s="1"/>
  <c r="N43" i="1"/>
  <c r="CM42" i="1"/>
  <c r="BV42" i="1"/>
  <c r="AU42" i="1"/>
  <c r="AT42" i="1"/>
  <c r="AS42" i="1"/>
  <c r="AR42" i="1"/>
  <c r="AM42" i="1"/>
  <c r="AL42" i="1"/>
  <c r="AK42" i="1"/>
  <c r="AJ42" i="1"/>
  <c r="U42" i="1"/>
  <c r="P42" i="1"/>
  <c r="W42" i="1" s="1"/>
  <c r="N42" i="1"/>
  <c r="K55" i="1"/>
  <c r="R116" i="1" l="1"/>
  <c r="Q123" i="1"/>
  <c r="Q122" i="1"/>
  <c r="Q124" i="1"/>
  <c r="Q120" i="1"/>
  <c r="Q119" i="1"/>
  <c r="Q117" i="1"/>
  <c r="Q109" i="1"/>
  <c r="Q106" i="1"/>
  <c r="Q115" i="1"/>
  <c r="Q114" i="1"/>
  <c r="Q113" i="1"/>
  <c r="Q112" i="1"/>
  <c r="Q111" i="1"/>
  <c r="Q110" i="1"/>
  <c r="R108" i="1"/>
  <c r="S55" i="1"/>
  <c r="X55" i="1"/>
  <c r="R55" i="1" s="1"/>
  <c r="X52" i="1"/>
  <c r="Q52" i="1" s="1"/>
  <c r="AC55" i="1"/>
  <c r="AA55" i="1"/>
  <c r="AD55" i="1"/>
  <c r="AB55" i="1"/>
  <c r="Z55" i="1"/>
  <c r="Y55" i="1"/>
  <c r="W12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56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18" i="1"/>
  <c r="AD17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56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26" i="1"/>
  <c r="AB27" i="1"/>
  <c r="AB28" i="1"/>
  <c r="AB29" i="1"/>
  <c r="AB18" i="1"/>
  <c r="AB19" i="1"/>
  <c r="AB20" i="1"/>
  <c r="AB21" i="1"/>
  <c r="AB22" i="1"/>
  <c r="AB23" i="1"/>
  <c r="AB24" i="1"/>
  <c r="AB25" i="1"/>
  <c r="AB17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6" i="1"/>
  <c r="Z57" i="1"/>
  <c r="Z58" i="1"/>
  <c r="Z59" i="1"/>
  <c r="Z60" i="1"/>
  <c r="Z61" i="1"/>
  <c r="Z62" i="1"/>
  <c r="Z30" i="1"/>
  <c r="Z31" i="1"/>
  <c r="Z32" i="1"/>
  <c r="Z33" i="1"/>
  <c r="Z34" i="1"/>
  <c r="Z35" i="1"/>
  <c r="Z36" i="1"/>
  <c r="Z37" i="1"/>
  <c r="Z38" i="1"/>
  <c r="Z39" i="1"/>
  <c r="Z40" i="1"/>
  <c r="Z41" i="1"/>
  <c r="Z21" i="1"/>
  <c r="Z22" i="1"/>
  <c r="Z23" i="1"/>
  <c r="Z24" i="1"/>
  <c r="Z25" i="1"/>
  <c r="Z26" i="1"/>
  <c r="Z27" i="1"/>
  <c r="Z28" i="1"/>
  <c r="Z29" i="1"/>
  <c r="Z20" i="1"/>
  <c r="Z19" i="1"/>
  <c r="Z18" i="1"/>
  <c r="Z17" i="1"/>
  <c r="AU30" i="1"/>
  <c r="AU25" i="1"/>
  <c r="AS25" i="1"/>
  <c r="AU24" i="1"/>
  <c r="AS24" i="1"/>
  <c r="AU23" i="1"/>
  <c r="AS23" i="1"/>
  <c r="AU22" i="1"/>
  <c r="AS22" i="1"/>
  <c r="AU21" i="1"/>
  <c r="AS21" i="1"/>
  <c r="AU20" i="1"/>
  <c r="AS20" i="1"/>
  <c r="AU19" i="1"/>
  <c r="AS19" i="1"/>
  <c r="AU18" i="1"/>
  <c r="AS18" i="1"/>
  <c r="AU17" i="1"/>
  <c r="AS17" i="1"/>
  <c r="S54" i="1"/>
  <c r="X53" i="1"/>
  <c r="Q53" i="1" s="1"/>
  <c r="X51" i="1"/>
  <c r="Q51" i="1" s="1"/>
  <c r="S50" i="1"/>
  <c r="X49" i="1"/>
  <c r="S48" i="1"/>
  <c r="X47" i="1"/>
  <c r="Q47" i="1" s="1"/>
  <c r="S46" i="1"/>
  <c r="X45" i="1"/>
  <c r="Q45" i="1" s="1"/>
  <c r="X59" i="1"/>
  <c r="R59" i="1" s="1"/>
  <c r="X60" i="1"/>
  <c r="Q60" i="1" s="1"/>
  <c r="X61" i="1"/>
  <c r="Q61" i="1" s="1"/>
  <c r="X62" i="1"/>
  <c r="R62" i="1" s="1"/>
  <c r="X63" i="1"/>
  <c r="R63" i="1" s="1"/>
  <c r="X64" i="1"/>
  <c r="R64" i="1" s="1"/>
  <c r="X65" i="1"/>
  <c r="Q65" i="1" s="1"/>
  <c r="X66" i="1"/>
  <c r="R66" i="1" s="1"/>
  <c r="X67" i="1"/>
  <c r="R67" i="1" s="1"/>
  <c r="X68" i="1"/>
  <c r="Q68" i="1" s="1"/>
  <c r="X69" i="1"/>
  <c r="Q69" i="1" s="1"/>
  <c r="X70" i="1"/>
  <c r="R70" i="1" s="1"/>
  <c r="X71" i="1"/>
  <c r="R71" i="1" s="1"/>
  <c r="X72" i="1"/>
  <c r="R72" i="1" s="1"/>
  <c r="X73" i="1"/>
  <c r="Q73" i="1" s="1"/>
  <c r="X74" i="1"/>
  <c r="R74" i="1" s="1"/>
  <c r="X75" i="1"/>
  <c r="R75" i="1" s="1"/>
  <c r="X76" i="1"/>
  <c r="Q76" i="1" s="1"/>
  <c r="X77" i="1"/>
  <c r="Q77" i="1" s="1"/>
  <c r="X78" i="1"/>
  <c r="R78" i="1" s="1"/>
  <c r="X79" i="1"/>
  <c r="R79" i="1" s="1"/>
  <c r="X80" i="1"/>
  <c r="R80" i="1" s="1"/>
  <c r="X81" i="1"/>
  <c r="Q81" i="1" s="1"/>
  <c r="X82" i="1"/>
  <c r="R82" i="1" s="1"/>
  <c r="X83" i="1"/>
  <c r="R83" i="1" s="1"/>
  <c r="X84" i="1"/>
  <c r="Q84" i="1" s="1"/>
  <c r="X85" i="1"/>
  <c r="Q85" i="1" s="1"/>
  <c r="X86" i="1"/>
  <c r="R86" i="1" s="1"/>
  <c r="X87" i="1"/>
  <c r="R87" i="1" s="1"/>
  <c r="X88" i="1"/>
  <c r="R88" i="1" s="1"/>
  <c r="X89" i="1"/>
  <c r="Q89" i="1" s="1"/>
  <c r="X90" i="1"/>
  <c r="R90" i="1" s="1"/>
  <c r="X91" i="1"/>
  <c r="R91" i="1" s="1"/>
  <c r="X92" i="1"/>
  <c r="Q92" i="1" s="1"/>
  <c r="X93" i="1"/>
  <c r="Q93" i="1" s="1"/>
  <c r="X94" i="1"/>
  <c r="R94" i="1" s="1"/>
  <c r="X95" i="1"/>
  <c r="R95" i="1" s="1"/>
  <c r="X96" i="1"/>
  <c r="R96" i="1" s="1"/>
  <c r="X97" i="1"/>
  <c r="Q97" i="1" s="1"/>
  <c r="X98" i="1"/>
  <c r="R98" i="1" s="1"/>
  <c r="X99" i="1"/>
  <c r="R99" i="1" s="1"/>
  <c r="X100" i="1"/>
  <c r="Q100" i="1" s="1"/>
  <c r="X101" i="1"/>
  <c r="Q101" i="1" s="1"/>
  <c r="X102" i="1"/>
  <c r="R102" i="1" s="1"/>
  <c r="X103" i="1"/>
  <c r="R103" i="1" s="1"/>
  <c r="X104" i="1"/>
  <c r="R104" i="1" s="1"/>
  <c r="X105" i="1"/>
  <c r="Q105" i="1" s="1"/>
  <c r="X58" i="1"/>
  <c r="R58" i="1" s="1"/>
  <c r="X57" i="1"/>
  <c r="Q57" i="1" s="1"/>
  <c r="X56" i="1"/>
  <c r="Q56" i="1" s="1"/>
  <c r="X54" i="1"/>
  <c r="R54" i="1" s="1"/>
  <c r="X31" i="1"/>
  <c r="Q31" i="1" s="1"/>
  <c r="X32" i="1"/>
  <c r="Q32" i="1" s="1"/>
  <c r="X33" i="1"/>
  <c r="Q33" i="1" s="1"/>
  <c r="X34" i="1"/>
  <c r="R34" i="1" s="1"/>
  <c r="X35" i="1"/>
  <c r="Q35" i="1" s="1"/>
  <c r="X36" i="1"/>
  <c r="Q36" i="1" s="1"/>
  <c r="X37" i="1"/>
  <c r="Q37" i="1" s="1"/>
  <c r="X38" i="1"/>
  <c r="R38" i="1" s="1"/>
  <c r="X39" i="1"/>
  <c r="Q39" i="1" s="1"/>
  <c r="X40" i="1"/>
  <c r="Q40" i="1" s="1"/>
  <c r="X41" i="1"/>
  <c r="R41" i="1" s="1"/>
  <c r="X26" i="1"/>
  <c r="R26" i="1" s="1"/>
  <c r="X27" i="1"/>
  <c r="Q27" i="1" s="1"/>
  <c r="X28" i="1"/>
  <c r="Q28" i="1" s="1"/>
  <c r="X29" i="1"/>
  <c r="Q29" i="1" s="1"/>
  <c r="X10" i="1"/>
  <c r="Q10" i="1" s="1"/>
  <c r="X11" i="1"/>
  <c r="R11" i="1" s="1"/>
  <c r="X12" i="1"/>
  <c r="Q12" i="1" s="1"/>
  <c r="X13" i="1"/>
  <c r="Q13" i="1" s="1"/>
  <c r="X14" i="1"/>
  <c r="Q14" i="1" s="1"/>
  <c r="X15" i="1"/>
  <c r="R15" i="1" s="1"/>
  <c r="X16" i="1"/>
  <c r="Q16" i="1" s="1"/>
  <c r="X9" i="1"/>
  <c r="R9" i="1" s="1"/>
  <c r="X8" i="1"/>
  <c r="R8" i="1" s="1"/>
  <c r="X7" i="1"/>
  <c r="R7" i="1" s="1"/>
  <c r="CM17" i="1"/>
  <c r="U30" i="1"/>
  <c r="N30" i="1"/>
  <c r="U25" i="1"/>
  <c r="AC25" i="1" s="1"/>
  <c r="U24" i="1"/>
  <c r="U23" i="1"/>
  <c r="AC23" i="1" s="1"/>
  <c r="U22" i="1"/>
  <c r="U21" i="1"/>
  <c r="AC21" i="1" s="1"/>
  <c r="U20" i="1"/>
  <c r="U19" i="1"/>
  <c r="AC19" i="1" s="1"/>
  <c r="U18" i="1"/>
  <c r="U17" i="1"/>
  <c r="N26" i="1"/>
  <c r="S26" i="1" s="1"/>
  <c r="P25" i="1"/>
  <c r="W25" i="1" s="1"/>
  <c r="N25" i="1"/>
  <c r="Y25" i="1" s="1"/>
  <c r="Y24" i="1"/>
  <c r="P23" i="1"/>
  <c r="W23" i="1" s="1"/>
  <c r="N23" i="1"/>
  <c r="P22" i="1"/>
  <c r="W22" i="1" s="1"/>
  <c r="N22" i="1"/>
  <c r="Y22" i="1" s="1"/>
  <c r="P21" i="1"/>
  <c r="W21" i="1" s="1"/>
  <c r="N21" i="1"/>
  <c r="P20" i="1"/>
  <c r="W20" i="1" s="1"/>
  <c r="N20" i="1"/>
  <c r="P19" i="1"/>
  <c r="W19" i="1" s="1"/>
  <c r="N19" i="1"/>
  <c r="P18" i="1"/>
  <c r="W18" i="1" s="1"/>
  <c r="N18" i="1"/>
  <c r="Y18" i="1" s="1"/>
  <c r="P17" i="1"/>
  <c r="W17" i="1" s="1"/>
  <c r="N17" i="1"/>
  <c r="BY16" i="1"/>
  <c r="BV16" i="1"/>
  <c r="BY15" i="1"/>
  <c r="BV15" i="1"/>
  <c r="BY14" i="1"/>
  <c r="BV14" i="1"/>
  <c r="BY13" i="1"/>
  <c r="BV13" i="1"/>
  <c r="W10" i="1"/>
  <c r="W11" i="1"/>
  <c r="W13" i="1"/>
  <c r="W14" i="1"/>
  <c r="W15" i="1"/>
  <c r="W16" i="1"/>
  <c r="W8" i="1"/>
  <c r="W9" i="1"/>
  <c r="W7" i="1"/>
  <c r="BY12" i="1"/>
  <c r="BV12" i="1"/>
  <c r="BY11" i="1"/>
  <c r="BV11" i="1"/>
  <c r="BY10" i="1"/>
  <c r="BV10" i="1"/>
  <c r="BY9" i="1"/>
  <c r="BV9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BY8" i="1"/>
  <c r="BV8" i="1"/>
  <c r="BY7" i="1"/>
  <c r="BV7" i="1"/>
  <c r="K8" i="1"/>
  <c r="K7" i="1"/>
  <c r="S9" i="1"/>
  <c r="S10" i="1"/>
  <c r="S11" i="1"/>
  <c r="S12" i="1"/>
  <c r="S13" i="1"/>
  <c r="S14" i="1"/>
  <c r="S15" i="1"/>
  <c r="S16" i="1"/>
  <c r="S27" i="1"/>
  <c r="S28" i="1"/>
  <c r="S29" i="1"/>
  <c r="S31" i="1"/>
  <c r="S32" i="1"/>
  <c r="S33" i="1"/>
  <c r="S34" i="1"/>
  <c r="S35" i="1"/>
  <c r="S36" i="1"/>
  <c r="S37" i="1"/>
  <c r="S38" i="1"/>
  <c r="S39" i="1"/>
  <c r="S40" i="1"/>
  <c r="S41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8" i="1"/>
  <c r="S7" i="1"/>
  <c r="AD9" i="1"/>
  <c r="AD10" i="1"/>
  <c r="AD11" i="1"/>
  <c r="AD12" i="1"/>
  <c r="AD13" i="1"/>
  <c r="AD14" i="1"/>
  <c r="AD15" i="1"/>
  <c r="AD16" i="1"/>
  <c r="AD8" i="1"/>
  <c r="AC9" i="1"/>
  <c r="AC10" i="1"/>
  <c r="AC11" i="1"/>
  <c r="AC12" i="1"/>
  <c r="AC13" i="1"/>
  <c r="AC14" i="1"/>
  <c r="AC15" i="1"/>
  <c r="AC16" i="1"/>
  <c r="AC26" i="1"/>
  <c r="AC27" i="1"/>
  <c r="AC28" i="1"/>
  <c r="AC29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8" i="1"/>
  <c r="AB8" i="1"/>
  <c r="AB9" i="1"/>
  <c r="AB10" i="1"/>
  <c r="AB11" i="1"/>
  <c r="AB12" i="1"/>
  <c r="AB13" i="1"/>
  <c r="AB14" i="1"/>
  <c r="AB15" i="1"/>
  <c r="AB16" i="1"/>
  <c r="AD7" i="1"/>
  <c r="AC7" i="1"/>
  <c r="AA9" i="1"/>
  <c r="AA10" i="1"/>
  <c r="AA11" i="1"/>
  <c r="AA12" i="1"/>
  <c r="AA13" i="1"/>
  <c r="AA14" i="1"/>
  <c r="AA15" i="1"/>
  <c r="AA16" i="1"/>
  <c r="AA26" i="1"/>
  <c r="AA27" i="1"/>
  <c r="AA28" i="1"/>
  <c r="AA29" i="1"/>
  <c r="AA31" i="1"/>
  <c r="AA32" i="1"/>
  <c r="AA33" i="1"/>
  <c r="AA34" i="1"/>
  <c r="AA35" i="1"/>
  <c r="AA36" i="1"/>
  <c r="AA37" i="1"/>
  <c r="AA38" i="1"/>
  <c r="AA39" i="1"/>
  <c r="AA40" i="1"/>
  <c r="AA41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8" i="1"/>
  <c r="AA7" i="1"/>
  <c r="Z9" i="1"/>
  <c r="Z10" i="1"/>
  <c r="Z11" i="1"/>
  <c r="Z12" i="1"/>
  <c r="Z13" i="1"/>
  <c r="Z14" i="1"/>
  <c r="Z15" i="1"/>
  <c r="Z16" i="1"/>
  <c r="Z8" i="1"/>
  <c r="Z7" i="1"/>
  <c r="Y12" i="1"/>
  <c r="Y13" i="1"/>
  <c r="Y14" i="1"/>
  <c r="Y15" i="1"/>
  <c r="Y16" i="1"/>
  <c r="Y26" i="1"/>
  <c r="Y27" i="1"/>
  <c r="Y28" i="1"/>
  <c r="Y29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1" i="1"/>
  <c r="Y10" i="1"/>
  <c r="Y9" i="1"/>
  <c r="Y8" i="1"/>
  <c r="Y7" i="1"/>
  <c r="Q55" i="1" l="1"/>
  <c r="AA47" i="1"/>
  <c r="AA52" i="1"/>
  <c r="AA45" i="1"/>
  <c r="AC24" i="1"/>
  <c r="S51" i="1"/>
  <c r="S47" i="1"/>
  <c r="AA30" i="1"/>
  <c r="AA51" i="1"/>
  <c r="AA44" i="1"/>
  <c r="S52" i="1"/>
  <c r="S44" i="1"/>
  <c r="X48" i="1"/>
  <c r="Q48" i="1" s="1"/>
  <c r="AA48" i="1"/>
  <c r="X44" i="1"/>
  <c r="Q44" i="1" s="1"/>
  <c r="AA49" i="1"/>
  <c r="S53" i="1"/>
  <c r="AA53" i="1"/>
  <c r="S45" i="1"/>
  <c r="AA54" i="1"/>
  <c r="AA50" i="1"/>
  <c r="AA46" i="1"/>
  <c r="S42" i="1"/>
  <c r="X46" i="1"/>
  <c r="R46" i="1" s="1"/>
  <c r="Q34" i="1"/>
  <c r="X50" i="1"/>
  <c r="R50" i="1" s="1"/>
  <c r="R93" i="1"/>
  <c r="R14" i="1"/>
  <c r="AA42" i="1"/>
  <c r="Q26" i="1"/>
  <c r="R77" i="1"/>
  <c r="R29" i="1"/>
  <c r="R13" i="1"/>
  <c r="R105" i="1"/>
  <c r="R89" i="1"/>
  <c r="R73" i="1"/>
  <c r="Q9" i="1"/>
  <c r="R28" i="1"/>
  <c r="R10" i="1"/>
  <c r="R101" i="1"/>
  <c r="R85" i="1"/>
  <c r="R69" i="1"/>
  <c r="Q38" i="1"/>
  <c r="R97" i="1"/>
  <c r="R81" i="1"/>
  <c r="R65" i="1"/>
  <c r="R61" i="1"/>
  <c r="R56" i="1"/>
  <c r="R53" i="1"/>
  <c r="R52" i="1"/>
  <c r="Q49" i="1"/>
  <c r="R49" i="1"/>
  <c r="S49" i="1"/>
  <c r="R45" i="1"/>
  <c r="AA43" i="1"/>
  <c r="S43" i="1"/>
  <c r="X43" i="1"/>
  <c r="Q43" i="1" s="1"/>
  <c r="X42" i="1"/>
  <c r="R42" i="1" s="1"/>
  <c r="Q11" i="1"/>
  <c r="Q54" i="1"/>
  <c r="R37" i="1"/>
  <c r="R33" i="1"/>
  <c r="Q104" i="1"/>
  <c r="Q96" i="1"/>
  <c r="Q88" i="1"/>
  <c r="Q80" i="1"/>
  <c r="Q72" i="1"/>
  <c r="Q64" i="1"/>
  <c r="Q41" i="1"/>
  <c r="R40" i="1"/>
  <c r="R36" i="1"/>
  <c r="R32" i="1"/>
  <c r="R57" i="1"/>
  <c r="Q103" i="1"/>
  <c r="Q99" i="1"/>
  <c r="Q95" i="1"/>
  <c r="Q91" i="1"/>
  <c r="Q87" i="1"/>
  <c r="Q83" i="1"/>
  <c r="Q79" i="1"/>
  <c r="Q75" i="1"/>
  <c r="Q71" i="1"/>
  <c r="Q67" i="1"/>
  <c r="Q63" i="1"/>
  <c r="Q59" i="1"/>
  <c r="R100" i="1"/>
  <c r="R92" i="1"/>
  <c r="R84" i="1"/>
  <c r="R76" i="1"/>
  <c r="R68" i="1"/>
  <c r="R60" i="1"/>
  <c r="Q7" i="1"/>
  <c r="R27" i="1"/>
  <c r="R16" i="1"/>
  <c r="R12" i="1"/>
  <c r="R51" i="1"/>
  <c r="R47" i="1"/>
  <c r="R39" i="1"/>
  <c r="R35" i="1"/>
  <c r="R31" i="1"/>
  <c r="Q102" i="1"/>
  <c r="Q98" i="1"/>
  <c r="Q94" i="1"/>
  <c r="Q90" i="1"/>
  <c r="Q86" i="1"/>
  <c r="Q82" i="1"/>
  <c r="Q78" i="1"/>
  <c r="Q74" i="1"/>
  <c r="Q70" i="1"/>
  <c r="Q66" i="1"/>
  <c r="Q62" i="1"/>
  <c r="Q58" i="1"/>
  <c r="Q15" i="1"/>
  <c r="Q8" i="1"/>
  <c r="Y17" i="1"/>
  <c r="X30" i="1"/>
  <c r="Q30" i="1" s="1"/>
  <c r="R17" i="1"/>
  <c r="X25" i="1"/>
  <c r="R25" i="1" s="1"/>
  <c r="X21" i="1"/>
  <c r="R21" i="1" s="1"/>
  <c r="AC30" i="1"/>
  <c r="X24" i="1"/>
  <c r="R24" i="1" s="1"/>
  <c r="X20" i="1"/>
  <c r="R20" i="1" s="1"/>
  <c r="X23" i="1"/>
  <c r="Q23" i="1" s="1"/>
  <c r="X19" i="1"/>
  <c r="Q19" i="1" s="1"/>
  <c r="X22" i="1"/>
  <c r="Q22" i="1" s="1"/>
  <c r="X18" i="1"/>
  <c r="Q18" i="1" s="1"/>
  <c r="S24" i="1"/>
  <c r="Y20" i="1"/>
  <c r="AA23" i="1"/>
  <c r="AC20" i="1"/>
  <c r="AA22" i="1"/>
  <c r="AC17" i="1"/>
  <c r="AA20" i="1"/>
  <c r="S22" i="1"/>
  <c r="AA18" i="1"/>
  <c r="AA24" i="1"/>
  <c r="Y30" i="1"/>
  <c r="S30" i="1"/>
  <c r="AA19" i="1"/>
  <c r="S20" i="1"/>
  <c r="AA25" i="1"/>
  <c r="AA21" i="1"/>
  <c r="AC22" i="1"/>
  <c r="AC18" i="1"/>
  <c r="Y21" i="1"/>
  <c r="Y23" i="1"/>
  <c r="Y19" i="1"/>
  <c r="AA17" i="1"/>
  <c r="S19" i="1"/>
  <c r="S23" i="1"/>
  <c r="S17" i="1"/>
  <c r="S21" i="1"/>
  <c r="S25" i="1"/>
  <c r="S18" i="1"/>
  <c r="R48" i="1" l="1"/>
  <c r="Q50" i="1"/>
  <c r="R44" i="1"/>
  <c r="Q46" i="1"/>
  <c r="Q24" i="1"/>
  <c r="R22" i="1"/>
  <c r="R23" i="1"/>
  <c r="Q17" i="1"/>
  <c r="R43" i="1"/>
  <c r="Q42" i="1"/>
  <c r="R30" i="1"/>
  <c r="R18" i="1"/>
  <c r="R19" i="1"/>
  <c r="Q21" i="1"/>
  <c r="Q25" i="1"/>
  <c r="Q20" i="1"/>
</calcChain>
</file>

<file path=xl/sharedStrings.xml><?xml version="1.0" encoding="utf-8"?>
<sst xmlns="http://schemas.openxmlformats.org/spreadsheetml/2006/main" count="1226" uniqueCount="372">
  <si>
    <t>ID</t>
  </si>
  <si>
    <t>Project</t>
  </si>
  <si>
    <t>Run</t>
  </si>
  <si>
    <t>Description</t>
  </si>
  <si>
    <t>Attitude</t>
  </si>
  <si>
    <t>Yaw</t>
  </si>
  <si>
    <t>Roll</t>
  </si>
  <si>
    <t>Pitch</t>
  </si>
  <si>
    <t>[mm]</t>
  </si>
  <si>
    <t>[m]</t>
  </si>
  <si>
    <t>Velocity</t>
  </si>
  <si>
    <t>[m/s]</t>
  </si>
  <si>
    <t>[deg]</t>
  </si>
  <si>
    <t>[N]</t>
  </si>
  <si>
    <t>Total</t>
  </si>
  <si>
    <t>Drag</t>
  </si>
  <si>
    <t>SideF</t>
  </si>
  <si>
    <t>DownF</t>
  </si>
  <si>
    <t>Fr Df</t>
  </si>
  <si>
    <t>Rr Df</t>
  </si>
  <si>
    <t>Efficiency</t>
  </si>
  <si>
    <t>L/D</t>
  </si>
  <si>
    <t>[-]</t>
  </si>
  <si>
    <t>[N.m]</t>
  </si>
  <si>
    <t>Moments</t>
  </si>
  <si>
    <t>Balance</t>
  </si>
  <si>
    <t>CxA</t>
  </si>
  <si>
    <t>CyA</t>
  </si>
  <si>
    <t>CzA</t>
  </si>
  <si>
    <t>CmxAb</t>
  </si>
  <si>
    <t>CmyAb</t>
  </si>
  <si>
    <t>CmzAb</t>
  </si>
  <si>
    <r>
      <t>[m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</si>
  <si>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r>
      <t>[m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</si>
  <si>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t>Moments @ CoG</t>
  </si>
  <si>
    <t>Force</t>
  </si>
  <si>
    <t>UnderBody (L)</t>
  </si>
  <si>
    <t>UnderBody (R)</t>
  </si>
  <si>
    <t>Front Wing</t>
  </si>
  <si>
    <t>Rear Wing</t>
  </si>
  <si>
    <t>Side Cascade (L)</t>
  </si>
  <si>
    <t>Side Cascade (R)</t>
  </si>
  <si>
    <t>Mono</t>
  </si>
  <si>
    <t>Suspension FL</t>
  </si>
  <si>
    <t>Wheel FL</t>
  </si>
  <si>
    <t>Wheel FR</t>
  </si>
  <si>
    <t>Wheel RL</t>
  </si>
  <si>
    <t>Wheel RR</t>
  </si>
  <si>
    <t>Suspension FR</t>
  </si>
  <si>
    <t>Suspension RL</t>
  </si>
  <si>
    <t>Suspension RR</t>
  </si>
  <si>
    <t>[kg/s]</t>
  </si>
  <si>
    <t>[Pa]</t>
  </si>
  <si>
    <t xml:space="preserve">Flow </t>
  </si>
  <si>
    <t>P Drop</t>
  </si>
  <si>
    <t>Radiator (L)</t>
  </si>
  <si>
    <t>Fan (L)</t>
  </si>
  <si>
    <t>Fan(R)</t>
  </si>
  <si>
    <t>Aero Package</t>
  </si>
  <si>
    <t>Wheels</t>
  </si>
  <si>
    <t>Suspension</t>
  </si>
  <si>
    <t>Chassis</t>
  </si>
  <si>
    <t>COEFFICIENTS</t>
  </si>
  <si>
    <t>FORCE BREAKDOWN</t>
  </si>
  <si>
    <t>COOLING</t>
  </si>
  <si>
    <t>SIMULATION RESULT</t>
  </si>
  <si>
    <t>MC001</t>
  </si>
  <si>
    <t>No. Cells</t>
  </si>
  <si>
    <t>[s]</t>
  </si>
  <si>
    <t>Solver Elapsed Time</t>
  </si>
  <si>
    <t>Mesh</t>
  </si>
  <si>
    <t>Date</t>
  </si>
  <si>
    <t>Memory</t>
  </si>
  <si>
    <t>[Gb]</t>
  </si>
  <si>
    <t>Max.</t>
  </si>
  <si>
    <t>No. Iterations</t>
  </si>
  <si>
    <t>Start Mean</t>
  </si>
  <si>
    <t>DD-MM-YYYY</t>
  </si>
  <si>
    <t>Finish</t>
  </si>
  <si>
    <t>SOLVER &amp; SETUP</t>
  </si>
  <si>
    <t>PC</t>
  </si>
  <si>
    <t>[h]</t>
  </si>
  <si>
    <t>WS ID</t>
  </si>
  <si>
    <t>Iter. Mean</t>
  </si>
  <si>
    <t>Residuals</t>
  </si>
  <si>
    <t>Sdr</t>
  </si>
  <si>
    <t>Tke</t>
  </si>
  <si>
    <t>X-mome</t>
  </si>
  <si>
    <t>Y-mome</t>
  </si>
  <si>
    <t>Cont.</t>
  </si>
  <si>
    <t>Z-mome</t>
  </si>
  <si>
    <t>Bck Diff</t>
  </si>
  <si>
    <t>Radiator (R)</t>
  </si>
  <si>
    <t>[Million]</t>
  </si>
  <si>
    <t>-</t>
  </si>
  <si>
    <t>MC002</t>
  </si>
  <si>
    <t>A1NE2</t>
  </si>
  <si>
    <t>A1NE1</t>
  </si>
  <si>
    <t>A1NE3</t>
  </si>
  <si>
    <t>MC003</t>
  </si>
  <si>
    <t>MC004</t>
  </si>
  <si>
    <t>MC001 Skidpad hi 1.4</t>
  </si>
  <si>
    <t>MC001 Skidpad hi 2.0</t>
  </si>
  <si>
    <t>MC001 20m Turn</t>
  </si>
  <si>
    <t>A2NE1</t>
  </si>
  <si>
    <t>MC005</t>
  </si>
  <si>
    <t>A2NE2</t>
  </si>
  <si>
    <t>MC004 20m Turn hi 1.4</t>
  </si>
  <si>
    <t>A2NE3</t>
  </si>
  <si>
    <t>MC006</t>
  </si>
  <si>
    <t>MC004 20m Turn hi 2.0</t>
  </si>
  <si>
    <t>Notes</t>
  </si>
  <si>
    <t>Total Forces and Moments averaged 500 iter - Remaining 200 iter</t>
  </si>
  <si>
    <t>Baseline Skidpad</t>
  </si>
  <si>
    <t>Moments @ Origin</t>
  </si>
  <si>
    <t xml:space="preserve">BALANCE </t>
  </si>
  <si>
    <t>[%] Out</t>
  </si>
  <si>
    <t>[%] Fr</t>
  </si>
  <si>
    <t>A2AMR1</t>
  </si>
  <si>
    <t>MC007</t>
  </si>
  <si>
    <t>MC006 - Adaptive Mesh</t>
  </si>
  <si>
    <t>A2AMR2</t>
  </si>
  <si>
    <t>MC008</t>
  </si>
  <si>
    <t>MC007 - AMR 1300 - 1700</t>
  </si>
  <si>
    <t>MC009</t>
  </si>
  <si>
    <t>MC002 RH Replace part</t>
  </si>
  <si>
    <t>A1RP1</t>
  </si>
  <si>
    <t>MC010</t>
  </si>
  <si>
    <t>MC002 with gamma Transi</t>
  </si>
  <si>
    <t>A1G1</t>
  </si>
  <si>
    <t>MC012</t>
  </si>
  <si>
    <t>MC013</t>
  </si>
  <si>
    <t>MC014</t>
  </si>
  <si>
    <t>MC015</t>
  </si>
  <si>
    <t>MC016</t>
  </si>
  <si>
    <t>MC017</t>
  </si>
  <si>
    <t>Baseline Parametric Study</t>
  </si>
  <si>
    <t>Baseline RrRH-10</t>
  </si>
  <si>
    <t>Baseline RrRH+20</t>
  </si>
  <si>
    <t>Baseline RrRH+10</t>
  </si>
  <si>
    <t>Baseline RrRH-20</t>
  </si>
  <si>
    <t>Baseline FrRH-10</t>
  </si>
  <si>
    <t>Pa1R1</t>
  </si>
  <si>
    <t>Pa1R2</t>
  </si>
  <si>
    <t>Pa1R3</t>
  </si>
  <si>
    <t>Pa1R4</t>
  </si>
  <si>
    <t>Pa1R5</t>
  </si>
  <si>
    <t>Pa2R1</t>
  </si>
  <si>
    <t>Pa2R2</t>
  </si>
  <si>
    <t>Pa2R3</t>
  </si>
  <si>
    <t>MC018</t>
  </si>
  <si>
    <t>MC019</t>
  </si>
  <si>
    <t>Baseline FrRH-20</t>
  </si>
  <si>
    <t>Baseline FrRH+10</t>
  </si>
  <si>
    <t>MC020</t>
  </si>
  <si>
    <t>MC021</t>
  </si>
  <si>
    <t>MC022</t>
  </si>
  <si>
    <t>MC023</t>
  </si>
  <si>
    <t>MC024</t>
  </si>
  <si>
    <t>Pa3R1</t>
  </si>
  <si>
    <t>Pa3R2</t>
  </si>
  <si>
    <t>Pa3R3</t>
  </si>
  <si>
    <t>Pa3R4</t>
  </si>
  <si>
    <t>Pa3R5</t>
  </si>
  <si>
    <t>Baseline RrRH+30</t>
  </si>
  <si>
    <t>Baseline + Roll 0.5º</t>
  </si>
  <si>
    <t>Baseline + Roll 1.0º</t>
  </si>
  <si>
    <t>Baseline + Roll 1.5º</t>
  </si>
  <si>
    <t>Baseline + Roll 2.0º</t>
  </si>
  <si>
    <t>Baseline RrRH+40</t>
  </si>
  <si>
    <t>Pa1R6</t>
  </si>
  <si>
    <t>MC025</t>
  </si>
  <si>
    <t>MC026</t>
  </si>
  <si>
    <t>MC027</t>
  </si>
  <si>
    <t>MC028</t>
  </si>
  <si>
    <t>Pa4R1</t>
  </si>
  <si>
    <t>Pa4R2</t>
  </si>
  <si>
    <t>Pa4R3</t>
  </si>
  <si>
    <t>Baseline +Yaw 2.5º</t>
  </si>
  <si>
    <t>Baseline +Yaw 5.0º</t>
  </si>
  <si>
    <t>Baseline +Yaw 7.5º</t>
  </si>
  <si>
    <t>MC029</t>
  </si>
  <si>
    <t>MC030</t>
  </si>
  <si>
    <t>MC031</t>
  </si>
  <si>
    <t>MC032</t>
  </si>
  <si>
    <t>MC033</t>
  </si>
  <si>
    <t>MC034</t>
  </si>
  <si>
    <t>MC035</t>
  </si>
  <si>
    <t>MC036</t>
  </si>
  <si>
    <t>MC037</t>
  </si>
  <si>
    <t>MC038</t>
  </si>
  <si>
    <t>MC039</t>
  </si>
  <si>
    <t>MC040</t>
  </si>
  <si>
    <t>MC041</t>
  </si>
  <si>
    <t>Baseline +Yaw 10.0º</t>
  </si>
  <si>
    <t>Baseline +Yaw 12.5º</t>
  </si>
  <si>
    <t>Baseline +Yaw 15.0º</t>
  </si>
  <si>
    <t>Pa4R4</t>
  </si>
  <si>
    <t>Pa4R5</t>
  </si>
  <si>
    <t>Pa4R6</t>
  </si>
  <si>
    <t>Pa5R1</t>
  </si>
  <si>
    <t>Pa5R3</t>
  </si>
  <si>
    <t>Pa5R2</t>
  </si>
  <si>
    <t>Baseline +2.5º Steer</t>
  </si>
  <si>
    <t>Baseline +5º Steer</t>
  </si>
  <si>
    <t>Baseline +7.5º Steer</t>
  </si>
  <si>
    <t>Pa5R4</t>
  </si>
  <si>
    <t>Baseline +10º Steer</t>
  </si>
  <si>
    <t>Pa5R6</t>
  </si>
  <si>
    <t>Baseline +12.5º Steer</t>
  </si>
  <si>
    <t>Pa1R7</t>
  </si>
  <si>
    <t>MC042</t>
  </si>
  <si>
    <t>MC043</t>
  </si>
  <si>
    <t>MC044</t>
  </si>
  <si>
    <t>MC045</t>
  </si>
  <si>
    <t>MC046</t>
  </si>
  <si>
    <t>MC047</t>
  </si>
  <si>
    <t>MC048</t>
  </si>
  <si>
    <t>MC049</t>
  </si>
  <si>
    <t>MC050</t>
  </si>
  <si>
    <t>MC051</t>
  </si>
  <si>
    <t>MC052</t>
  </si>
  <si>
    <t>MC053</t>
  </si>
  <si>
    <t>MC054</t>
  </si>
  <si>
    <t>MC055</t>
  </si>
  <si>
    <t>MC056</t>
  </si>
  <si>
    <t>MC057</t>
  </si>
  <si>
    <t>MC059</t>
  </si>
  <si>
    <t>MC060</t>
  </si>
  <si>
    <t>MC061</t>
  </si>
  <si>
    <t>MC058</t>
  </si>
  <si>
    <t>MC062</t>
  </si>
  <si>
    <t>MC063</t>
  </si>
  <si>
    <t>MC064</t>
  </si>
  <si>
    <t>MC065</t>
  </si>
  <si>
    <t>MC066</t>
  </si>
  <si>
    <t>MC067</t>
  </si>
  <si>
    <t>Pa1R8</t>
  </si>
  <si>
    <t>Pa1R9</t>
  </si>
  <si>
    <t>Pa1R10</t>
  </si>
  <si>
    <t>Pa1R11</t>
  </si>
  <si>
    <t>Pa1R12</t>
  </si>
  <si>
    <t>Pa1R13</t>
  </si>
  <si>
    <t>Pa1R14</t>
  </si>
  <si>
    <t>Pa1R15</t>
  </si>
  <si>
    <t>Pa1R16</t>
  </si>
  <si>
    <t>Pa1R17</t>
  </si>
  <si>
    <t>Pa1R18</t>
  </si>
  <si>
    <t>Pa1R19</t>
  </si>
  <si>
    <t>Pa1R20</t>
  </si>
  <si>
    <t>Pa1R21</t>
  </si>
  <si>
    <t>Pa1R22</t>
  </si>
  <si>
    <t>Pa1R23</t>
  </si>
  <si>
    <t>Pa1R24</t>
  </si>
  <si>
    <t>Pa1R25</t>
  </si>
  <si>
    <t>Pa1R26</t>
  </si>
  <si>
    <t>Pa1R27</t>
  </si>
  <si>
    <t>Pa1R28</t>
  </si>
  <si>
    <t>Pa1R29</t>
  </si>
  <si>
    <t>Pa1R30</t>
  </si>
  <si>
    <t>Pa1R31</t>
  </si>
  <si>
    <t>MapR1</t>
  </si>
  <si>
    <t>MapR5</t>
  </si>
  <si>
    <t>MapR2</t>
  </si>
  <si>
    <t>MapR3</t>
  </si>
  <si>
    <t>MapR4</t>
  </si>
  <si>
    <t>MapR6</t>
  </si>
  <si>
    <t>RH</t>
  </si>
  <si>
    <t>MC068</t>
  </si>
  <si>
    <t>MC069</t>
  </si>
  <si>
    <t>MC070</t>
  </si>
  <si>
    <t>MC071</t>
  </si>
  <si>
    <t>MC072</t>
  </si>
  <si>
    <t>MC073</t>
  </si>
  <si>
    <t>MC074</t>
  </si>
  <si>
    <t>MC076</t>
  </si>
  <si>
    <t>MC075</t>
  </si>
  <si>
    <t>MapR7</t>
  </si>
  <si>
    <t>MapR8</t>
  </si>
  <si>
    <t>MapR9</t>
  </si>
  <si>
    <t>MapR10</t>
  </si>
  <si>
    <t>MapR11</t>
  </si>
  <si>
    <t>MapR12</t>
  </si>
  <si>
    <t>MapR13</t>
  </si>
  <si>
    <t>MapR14</t>
  </si>
  <si>
    <t>MapR15</t>
  </si>
  <si>
    <t>Intersects floor</t>
  </si>
  <si>
    <t>MC077</t>
  </si>
  <si>
    <t>MC078</t>
  </si>
  <si>
    <t>MC079</t>
  </si>
  <si>
    <t>MC080</t>
  </si>
  <si>
    <t>MC081</t>
  </si>
  <si>
    <t>MC082</t>
  </si>
  <si>
    <t>MC083</t>
  </si>
  <si>
    <t>MC084</t>
  </si>
  <si>
    <t>MC085</t>
  </si>
  <si>
    <t>MC086</t>
  </si>
  <si>
    <t>MC087</t>
  </si>
  <si>
    <t>MapR16</t>
  </si>
  <si>
    <t>MapR17</t>
  </si>
  <si>
    <t>MapR18</t>
  </si>
  <si>
    <t>MapR19</t>
  </si>
  <si>
    <t>MapR20</t>
  </si>
  <si>
    <t>MapR21</t>
  </si>
  <si>
    <t>MapR22</t>
  </si>
  <si>
    <t>MapR23</t>
  </si>
  <si>
    <t>MapR24</t>
  </si>
  <si>
    <t>MapR25</t>
  </si>
  <si>
    <t>MapR26</t>
  </si>
  <si>
    <t>MC088</t>
  </si>
  <si>
    <t>MC089</t>
  </si>
  <si>
    <t>MC090</t>
  </si>
  <si>
    <t>MC091</t>
  </si>
  <si>
    <t>MC092</t>
  </si>
  <si>
    <t>MC093</t>
  </si>
  <si>
    <t>MC094</t>
  </si>
  <si>
    <t>MC095</t>
  </si>
  <si>
    <t>MC096</t>
  </si>
  <si>
    <t>MC097</t>
  </si>
  <si>
    <t>MC098</t>
  </si>
  <si>
    <t>MC099</t>
  </si>
  <si>
    <t>MapR27</t>
  </si>
  <si>
    <t>MapR28</t>
  </si>
  <si>
    <t>MapR29</t>
  </si>
  <si>
    <t>MapR30</t>
  </si>
  <si>
    <t>MapR31</t>
  </si>
  <si>
    <t>MapR32</t>
  </si>
  <si>
    <t>MapR33</t>
  </si>
  <si>
    <t>MapR34</t>
  </si>
  <si>
    <t>MapR35</t>
  </si>
  <si>
    <t>MapR36</t>
  </si>
  <si>
    <t>MapR37</t>
  </si>
  <si>
    <t>MapR38</t>
  </si>
  <si>
    <t>MapR39</t>
  </si>
  <si>
    <t>MC100</t>
  </si>
  <si>
    <t>MapR40</t>
  </si>
  <si>
    <t>MapR41</t>
  </si>
  <si>
    <t>MapR42</t>
  </si>
  <si>
    <t>MC101</t>
  </si>
  <si>
    <t>MC102</t>
  </si>
  <si>
    <t>MC103</t>
  </si>
  <si>
    <t>MapR43</t>
  </si>
  <si>
    <t>MC104</t>
  </si>
  <si>
    <t>MC105</t>
  </si>
  <si>
    <t>MC106</t>
  </si>
  <si>
    <t>MC107</t>
  </si>
  <si>
    <t>MC108</t>
  </si>
  <si>
    <t>MC109</t>
  </si>
  <si>
    <t>MC110</t>
  </si>
  <si>
    <t>MC111</t>
  </si>
  <si>
    <t>MapR44</t>
  </si>
  <si>
    <t>MapR45</t>
  </si>
  <si>
    <t>MapR46</t>
  </si>
  <si>
    <t>MapR47</t>
  </si>
  <si>
    <t>MapR48</t>
  </si>
  <si>
    <t>MapR49</t>
  </si>
  <si>
    <t>MapR50</t>
  </si>
  <si>
    <t>Fr_RH</t>
  </si>
  <si>
    <t>Rr_RH</t>
  </si>
  <si>
    <t xml:space="preserve">Steer_In </t>
  </si>
  <si>
    <t xml:space="preserve">Steer_Out </t>
  </si>
  <si>
    <t>Turn_Radii</t>
  </si>
  <si>
    <t>MC112</t>
  </si>
  <si>
    <t>MC113</t>
  </si>
  <si>
    <t>MC114</t>
  </si>
  <si>
    <t>MC115</t>
  </si>
  <si>
    <t>MC116</t>
  </si>
  <si>
    <t>ValR1</t>
  </si>
  <si>
    <t>ValR2</t>
  </si>
  <si>
    <t>ValR4</t>
  </si>
  <si>
    <t>ValR3</t>
  </si>
  <si>
    <t>ValR5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</si>
</sst>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E+00"/>
  </numFmts>
  <fonts count="8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D54F"/>
        <bgColor indexed="64"/>
      </patternFill>
    </fill>
    <fill>
      <patternFill patternType="solid">
        <fgColor rgb="FFA3FFA7"/>
        <bgColor indexed="64"/>
      </patternFill>
    </fill>
    <fill>
      <patternFill patternType="solid">
        <fgColor rgb="FFFFB989"/>
        <bgColor indexed="64"/>
      </patternFill>
    </fill>
    <fill>
      <patternFill patternType="solid">
        <fgColor rgb="FFE4B7FF"/>
        <bgColor indexed="64"/>
      </patternFill>
    </fill>
    <fill>
      <patternFill patternType="solid">
        <fgColor rgb="FFFFD08B"/>
        <bgColor indexed="64"/>
      </patternFill>
    </fill>
    <fill>
      <patternFill patternType="solid">
        <fgColor rgb="FFF8FFA3"/>
        <bgColor indexed="64"/>
      </patternFill>
    </fill>
    <fill>
      <patternFill patternType="solid">
        <fgColor rgb="FF8BD0FF"/>
        <bgColor indexed="64"/>
      </patternFill>
    </fill>
    <fill>
      <patternFill patternType="solid">
        <fgColor rgb="FFFF9797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5" fontId="0" fillId="0" borderId="17" xfId="0" applyNumberForma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6" borderId="5" xfId="0" applyFont="1" applyFill="1" applyBorder="1" applyAlignment="1">
      <alignment horizontal="center" vertical="center"/>
    </xf>
    <xf numFmtId="0" fontId="0" fillId="6" borderId="8" xfId="0" applyFont="1" applyFill="1" applyBorder="1" applyAlignment="1">
      <alignment horizontal="center" vertical="center"/>
    </xf>
    <xf numFmtId="0" fontId="0" fillId="6" borderId="15" xfId="0" applyFont="1" applyFill="1" applyBorder="1" applyAlignment="1">
      <alignment horizontal="center" vertical="center"/>
    </xf>
    <xf numFmtId="0" fontId="0" fillId="6" borderId="19" xfId="0" applyFont="1" applyFill="1" applyBorder="1" applyAlignment="1">
      <alignment horizontal="center" vertical="center"/>
    </xf>
    <xf numFmtId="0" fontId="0" fillId="6" borderId="6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6" borderId="16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15" xfId="0" applyFont="1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5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0" fillId="10" borderId="18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6" xfId="0" applyFill="1" applyBorder="1" applyAlignment="1">
      <alignment horizontal="center" vertical="center"/>
    </xf>
    <xf numFmtId="0" fontId="0" fillId="12" borderId="18" xfId="0" applyFill="1" applyBorder="1" applyAlignment="1">
      <alignment horizontal="center" vertical="center"/>
    </xf>
    <xf numFmtId="0" fontId="0" fillId="12" borderId="19" xfId="0" applyFill="1" applyBorder="1" applyAlignment="1">
      <alignment horizontal="center" vertical="center"/>
    </xf>
    <xf numFmtId="0" fontId="0" fillId="12" borderId="15" xfId="0" applyFill="1" applyBorder="1" applyAlignment="1">
      <alignment horizontal="center" vertical="center"/>
    </xf>
    <xf numFmtId="0" fontId="0" fillId="12" borderId="16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2" fillId="9" borderId="17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vertical="center"/>
    </xf>
    <xf numFmtId="0" fontId="2" fillId="9" borderId="3" xfId="0" applyFont="1" applyFill="1" applyBorder="1" applyAlignment="1">
      <alignment vertical="center"/>
    </xf>
    <xf numFmtId="1" fontId="0" fillId="0" borderId="0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2" fillId="2" borderId="1" xfId="0" applyFont="1" applyFill="1" applyBorder="1" applyAlignment="1">
      <alignment horizontal="right" vertical="center"/>
    </xf>
    <xf numFmtId="0" fontId="7" fillId="2" borderId="30" xfId="0" applyFont="1" applyFill="1" applyBorder="1" applyAlignment="1">
      <alignment vertical="center"/>
    </xf>
    <xf numFmtId="0" fontId="4" fillId="9" borderId="20" xfId="0" applyFont="1" applyFill="1" applyBorder="1" applyAlignment="1">
      <alignment horizontal="center" vertical="center"/>
    </xf>
    <xf numFmtId="0" fontId="4" fillId="9" borderId="12" xfId="0" applyFont="1" applyFill="1" applyBorder="1" applyAlignment="1">
      <alignment horizontal="center" vertical="center"/>
    </xf>
    <xf numFmtId="0" fontId="4" fillId="9" borderId="21" xfId="0" applyFont="1" applyFill="1" applyBorder="1" applyAlignment="1">
      <alignment horizontal="center" vertical="center"/>
    </xf>
    <xf numFmtId="0" fontId="4" fillId="9" borderId="22" xfId="0" applyFont="1" applyFill="1" applyBorder="1" applyAlignment="1">
      <alignment horizontal="center" vertical="center"/>
    </xf>
    <xf numFmtId="0" fontId="4" fillId="9" borderId="10" xfId="0" applyFont="1" applyFill="1" applyBorder="1" applyAlignment="1">
      <alignment horizontal="center" vertical="center"/>
    </xf>
    <xf numFmtId="0" fontId="4" fillId="9" borderId="23" xfId="0" applyFont="1" applyFill="1" applyBorder="1" applyAlignment="1">
      <alignment horizontal="center" vertical="center"/>
    </xf>
    <xf numFmtId="0" fontId="4" fillId="8" borderId="20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center" vertical="center"/>
    </xf>
    <xf numFmtId="0" fontId="4" fillId="8" borderId="21" xfId="0" applyFont="1" applyFill="1" applyBorder="1" applyAlignment="1">
      <alignment horizontal="center" vertical="center"/>
    </xf>
    <xf numFmtId="0" fontId="4" fillId="8" borderId="22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0" fontId="4" fillId="8" borderId="23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6" borderId="21" xfId="0" applyFont="1" applyFill="1" applyBorder="1" applyAlignment="1">
      <alignment horizontal="center" vertical="center"/>
    </xf>
    <xf numFmtId="0" fontId="4" fillId="6" borderId="22" xfId="0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center" vertical="center"/>
    </xf>
    <xf numFmtId="0" fontId="4" fillId="6" borderId="23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4" xfId="0" applyFont="1" applyFill="1" applyBorder="1" applyAlignment="1">
      <alignment horizontal="center" vertical="center"/>
    </xf>
    <xf numFmtId="0" fontId="4" fillId="7" borderId="20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4" fillId="7" borderId="21" xfId="0" applyFont="1" applyFill="1" applyBorder="1" applyAlignment="1">
      <alignment horizontal="center" vertical="center"/>
    </xf>
    <xf numFmtId="0" fontId="4" fillId="7" borderId="22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2" fillId="12" borderId="3" xfId="0" applyFont="1" applyFill="1" applyBorder="1" applyAlignment="1">
      <alignment horizontal="center" vertical="center"/>
    </xf>
    <xf numFmtId="0" fontId="2" fillId="8" borderId="1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4" xfId="0" applyFont="1" applyFill="1" applyBorder="1" applyAlignment="1">
      <alignment horizontal="center" vertical="center"/>
    </xf>
    <xf numFmtId="0" fontId="2" fillId="11" borderId="20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2" fillId="12" borderId="17" xfId="0" applyFont="1" applyFill="1" applyBorder="1" applyAlignment="1">
      <alignment horizontal="center" vertical="center"/>
    </xf>
    <xf numFmtId="0" fontId="2" fillId="12" borderId="14" xfId="0" applyFont="1" applyFill="1" applyBorder="1" applyAlignment="1">
      <alignment horizontal="center" vertical="center"/>
    </xf>
  </cellXfs>
  <cellStyles count="1">
    <cellStyle name="Normal" xfId="0" builtinId="0"/>
  </cellStyles>
  <dxfs count="60"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8BD0FF"/>
      <color rgb="FFFF9797"/>
      <color rgb="FFFAA8A8"/>
      <color rgb="FFC1C6F1"/>
      <color rgb="FFACEEFE"/>
      <color rgb="FFF8FFA3"/>
      <color rgb="FFFFD54F"/>
      <color rgb="FFFFD08B"/>
      <color rgb="FFFEAD6A"/>
      <color rgb="FFA3FF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</xdr:row>
          <xdr:rowOff>123825</xdr:rowOff>
        </xdr:from>
        <xdr:to>
          <xdr:col>3</xdr:col>
          <xdr:colOff>2209800</xdr:colOff>
          <xdr:row>3</xdr:row>
          <xdr:rowOff>266700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B9732-7E68-4018-A956-16358A716256}">
  <sheetPr codeName="Sheet1">
    <outlinePr summaryBelow="0" summaryRight="0"/>
  </sheetPr>
  <dimension ref="A1:CN125"/>
  <sheetViews>
    <sheetView tabSelected="1" zoomScaleNormal="100" workbookViewId="0">
      <pane xSplit="3" ySplit="6" topLeftCell="D67" activePane="bottomRight" state="frozen"/>
      <selection pane="topRight" activeCell="D1" sqref="D1"/>
      <selection pane="bottomLeft" activeCell="A7" sqref="A7"/>
      <selection pane="bottomRight" activeCell="K75" sqref="K75"/>
    </sheetView>
  </sheetViews>
  <sheetFormatPr defaultColWidth="9.140625" defaultRowHeight="15" zeroHeight="1" outlineLevelRow="1" outlineLevelCol="1" x14ac:dyDescent="0.25"/>
  <cols>
    <col min="1" max="1" width="2.5703125" customWidth="1"/>
    <col min="2" max="2" width="8.28515625" customWidth="1"/>
    <col min="3" max="3" width="6.7109375" customWidth="1"/>
    <col min="4" max="4" width="34.42578125" customWidth="1"/>
    <col min="5" max="5" width="7" customWidth="1"/>
    <col min="6" max="6" width="8" customWidth="1"/>
    <col min="7" max="7" width="6.28515625" customWidth="1"/>
    <col min="8" max="8" width="6.5703125" customWidth="1"/>
    <col min="9" max="9" width="8.140625" customWidth="1"/>
    <col min="10" max="10" width="8.85546875" customWidth="1"/>
    <col min="11" max="11" width="7" customWidth="1"/>
    <col min="12" max="12" width="10.140625" customWidth="1"/>
    <col min="13" max="13" width="8.7109375" customWidth="1"/>
    <col min="14" max="14" width="7.42578125" customWidth="1"/>
    <col min="15" max="15" width="7" customWidth="1"/>
    <col min="16" max="16" width="6.85546875" customWidth="1"/>
    <col min="17" max="17" width="6.28515625" customWidth="1" outlineLevel="1"/>
    <col min="18" max="18" width="6.140625" customWidth="1" outlineLevel="1"/>
    <col min="19" max="19" width="9.28515625" customWidth="1"/>
    <col min="20" max="20" width="7" customWidth="1" outlineLevel="1"/>
    <col min="21" max="21" width="7.5703125" customWidth="1" outlineLevel="1"/>
    <col min="22" max="22" width="7.85546875" customWidth="1" outlineLevel="1"/>
    <col min="23" max="23" width="8" customWidth="1"/>
    <col min="24" max="24" width="7.28515625" customWidth="1"/>
    <col min="25" max="25" width="7.7109375" customWidth="1" outlineLevel="1"/>
    <col min="26" max="26" width="8.140625" customWidth="1" outlineLevel="1"/>
    <col min="27" max="27" width="7.5703125" customWidth="1" outlineLevel="1"/>
    <col min="28" max="29" width="9.140625" customWidth="1" outlineLevel="1"/>
    <col min="30" max="30" width="8.140625" customWidth="1" outlineLevel="1"/>
    <col min="31" max="31" width="3" customWidth="1"/>
    <col min="32" max="32" width="7.85546875" customWidth="1" outlineLevel="1"/>
    <col min="33" max="33" width="9.140625" customWidth="1" outlineLevel="1"/>
    <col min="34" max="34" width="7.5703125" customWidth="1" outlineLevel="1"/>
    <col min="35" max="35" width="9.140625" customWidth="1" outlineLevel="1"/>
    <col min="36" max="36" width="7.7109375" customWidth="1" outlineLevel="1"/>
    <col min="37" max="37" width="9.140625" customWidth="1" outlineLevel="1"/>
    <col min="38" max="38" width="7.85546875" customWidth="1" outlineLevel="1"/>
    <col min="39" max="39" width="9.140625" customWidth="1" outlineLevel="1"/>
    <col min="40" max="40" width="7.5703125" customWidth="1" outlineLevel="1"/>
    <col min="41" max="41" width="9.140625" customWidth="1" outlineLevel="1"/>
    <col min="42" max="42" width="7.5703125" customWidth="1" outlineLevel="1"/>
    <col min="43" max="43" width="9.140625" customWidth="1" outlineLevel="1"/>
    <col min="44" max="44" width="7.5703125" customWidth="1" outlineLevel="1"/>
    <col min="45" max="45" width="9.140625" customWidth="1" outlineLevel="1"/>
    <col min="46" max="46" width="7.7109375" customWidth="1" outlineLevel="1"/>
    <col min="47" max="47" width="9.140625" customWidth="1" outlineLevel="1"/>
    <col min="48" max="48" width="6.7109375" customWidth="1" outlineLevel="1"/>
    <col min="49" max="49" width="9.140625" customWidth="1" outlineLevel="1"/>
    <col min="50" max="50" width="7.140625" customWidth="1" outlineLevel="1"/>
    <col min="51" max="51" width="9.140625" customWidth="1" outlineLevel="1"/>
    <col min="52" max="52" width="7.5703125" customWidth="1" outlineLevel="1"/>
    <col min="53" max="53" width="9.140625" customWidth="1" outlineLevel="1"/>
    <col min="54" max="54" width="7.42578125" customWidth="1" outlineLevel="1"/>
    <col min="55" max="55" width="9.140625" customWidth="1" outlineLevel="1"/>
    <col min="56" max="56" width="7.42578125" customWidth="1" outlineLevel="1"/>
    <col min="57" max="57" width="9.140625" customWidth="1" outlineLevel="1"/>
    <col min="58" max="58" width="7.28515625" customWidth="1" outlineLevel="1"/>
    <col min="59" max="59" width="9.140625" customWidth="1" outlineLevel="1"/>
    <col min="60" max="60" width="7.5703125" customWidth="1" outlineLevel="1"/>
    <col min="61" max="61" width="9.140625" customWidth="1" outlineLevel="1"/>
    <col min="62" max="62" width="7.7109375" customWidth="1" outlineLevel="1"/>
    <col min="63" max="63" width="8.85546875" customWidth="1" outlineLevel="1"/>
    <col min="64" max="64" width="2.85546875" customWidth="1"/>
    <col min="65" max="72" width="9.140625" customWidth="1" outlineLevel="1"/>
    <col min="73" max="73" width="3" customWidth="1"/>
    <col min="74" max="74" width="8.7109375" customWidth="1" outlineLevel="1"/>
    <col min="75" max="75" width="7.28515625" customWidth="1" outlineLevel="1"/>
    <col min="76" max="76" width="10.5703125" customWidth="1" outlineLevel="1"/>
    <col min="77" max="77" width="7.5703125" customWidth="1" outlineLevel="1"/>
    <col min="78" max="78" width="11" customWidth="1" outlineLevel="1"/>
    <col min="79" max="79" width="7.140625" customWidth="1" outlineLevel="1"/>
    <col min="80" max="80" width="6.5703125" customWidth="1" outlineLevel="1"/>
    <col min="81" max="81" width="6.85546875" customWidth="1" outlineLevel="1"/>
    <col min="82" max="82" width="8.140625" customWidth="1" outlineLevel="1"/>
    <col min="83" max="83" width="7.5703125" customWidth="1" outlineLevel="1"/>
    <col min="84" max="84" width="8" customWidth="1" outlineLevel="1"/>
    <col min="85" max="86" width="8.28515625" customWidth="1" outlineLevel="1"/>
    <col min="87" max="87" width="7.140625" customWidth="1" outlineLevel="1"/>
    <col min="88" max="88" width="13.7109375" customWidth="1" outlineLevel="1"/>
    <col min="89" max="89" width="3.85546875" customWidth="1"/>
    <col min="90" max="92" width="9.140625" customWidth="1" outlineLevel="1"/>
  </cols>
  <sheetData>
    <row r="1" spans="1:92" s="2" customFormat="1" ht="3" customHeight="1" x14ac:dyDescent="0.25"/>
    <row r="2" spans="1:92" s="1" customFormat="1" ht="15.75" x14ac:dyDescent="0.25">
      <c r="N2" s="132" t="s">
        <v>65</v>
      </c>
      <c r="O2" s="133"/>
      <c r="P2" s="133"/>
      <c r="Q2" s="133"/>
      <c r="R2" s="133"/>
      <c r="S2" s="133"/>
      <c r="T2" s="133"/>
      <c r="U2" s="133"/>
      <c r="V2" s="133"/>
      <c r="W2" s="133"/>
      <c r="X2" s="134"/>
      <c r="Y2" s="103" t="s">
        <v>62</v>
      </c>
      <c r="Z2" s="104"/>
      <c r="AA2" s="104"/>
      <c r="AB2" s="104"/>
      <c r="AC2" s="104"/>
      <c r="AD2" s="105"/>
      <c r="AE2" s="16"/>
      <c r="AF2" s="126" t="s">
        <v>63</v>
      </c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  <c r="AZ2" s="127"/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8"/>
      <c r="BL2" s="16"/>
      <c r="BM2" s="113" t="s">
        <v>64</v>
      </c>
      <c r="BN2" s="114"/>
      <c r="BO2" s="114"/>
      <c r="BP2" s="114"/>
      <c r="BQ2" s="114"/>
      <c r="BR2" s="114"/>
      <c r="BS2" s="114"/>
      <c r="BT2" s="115"/>
      <c r="BV2" s="97" t="s">
        <v>79</v>
      </c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9"/>
      <c r="CL2" s="154" t="s">
        <v>115</v>
      </c>
      <c r="CM2" s="155"/>
      <c r="CN2" s="156"/>
    </row>
    <row r="3" spans="1:92" s="1" customFormat="1" ht="12.75" customHeight="1" x14ac:dyDescent="0.25">
      <c r="N3" s="135"/>
      <c r="O3" s="136"/>
      <c r="P3" s="136"/>
      <c r="Q3" s="136"/>
      <c r="R3" s="136"/>
      <c r="S3" s="136"/>
      <c r="T3" s="136"/>
      <c r="U3" s="136"/>
      <c r="V3" s="136"/>
      <c r="W3" s="136"/>
      <c r="X3" s="137"/>
      <c r="Y3" s="106"/>
      <c r="Z3" s="107"/>
      <c r="AA3" s="107"/>
      <c r="AB3" s="107"/>
      <c r="AC3" s="107"/>
      <c r="AD3" s="108"/>
      <c r="AE3" s="16"/>
      <c r="AF3" s="109" t="s">
        <v>58</v>
      </c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1"/>
      <c r="AT3" s="112" t="s">
        <v>61</v>
      </c>
      <c r="AU3" s="111"/>
      <c r="AV3" s="112" t="s">
        <v>59</v>
      </c>
      <c r="AW3" s="110"/>
      <c r="AX3" s="110"/>
      <c r="AY3" s="110"/>
      <c r="AZ3" s="110"/>
      <c r="BA3" s="110"/>
      <c r="BB3" s="110"/>
      <c r="BC3" s="111"/>
      <c r="BD3" s="112" t="s">
        <v>60</v>
      </c>
      <c r="BE3" s="110"/>
      <c r="BF3" s="110"/>
      <c r="BG3" s="110"/>
      <c r="BH3" s="110"/>
      <c r="BI3" s="110"/>
      <c r="BJ3" s="110"/>
      <c r="BK3" s="125"/>
      <c r="BL3" s="17"/>
      <c r="BM3" s="116"/>
      <c r="BN3" s="117"/>
      <c r="BO3" s="117"/>
      <c r="BP3" s="117"/>
      <c r="BQ3" s="117"/>
      <c r="BR3" s="117"/>
      <c r="BS3" s="117"/>
      <c r="BT3" s="118"/>
      <c r="BV3" s="100"/>
      <c r="BW3" s="101"/>
      <c r="BX3" s="101"/>
      <c r="BY3" s="101"/>
      <c r="BZ3" s="101"/>
      <c r="CA3" s="101"/>
      <c r="CB3" s="101"/>
      <c r="CC3" s="101"/>
      <c r="CD3" s="101"/>
      <c r="CE3" s="101"/>
      <c r="CF3" s="101"/>
      <c r="CG3" s="101"/>
      <c r="CH3" s="101"/>
      <c r="CI3" s="101"/>
      <c r="CJ3" s="102"/>
      <c r="CL3" s="157"/>
      <c r="CM3" s="158"/>
      <c r="CN3" s="159"/>
    </row>
    <row r="4" spans="1:92" s="1" customFormat="1" ht="25.5" customHeight="1" x14ac:dyDescent="0.25">
      <c r="E4" s="140" t="s">
        <v>4</v>
      </c>
      <c r="F4" s="141"/>
      <c r="G4" s="141"/>
      <c r="H4" s="141"/>
      <c r="I4" s="141"/>
      <c r="J4" s="141"/>
      <c r="K4" s="141"/>
      <c r="L4" s="141"/>
      <c r="M4" s="142"/>
      <c r="N4" s="9" t="s">
        <v>15</v>
      </c>
      <c r="O4" s="5" t="s">
        <v>16</v>
      </c>
      <c r="P4" s="143" t="s">
        <v>17</v>
      </c>
      <c r="Q4" s="144"/>
      <c r="R4" s="145"/>
      <c r="S4" s="6" t="s">
        <v>20</v>
      </c>
      <c r="T4" s="146" t="s">
        <v>34</v>
      </c>
      <c r="U4" s="147"/>
      <c r="V4" s="148"/>
      <c r="W4" s="130" t="s">
        <v>25</v>
      </c>
      <c r="X4" s="131"/>
      <c r="Y4" s="149" t="s">
        <v>35</v>
      </c>
      <c r="Z4" s="150"/>
      <c r="AA4" s="151"/>
      <c r="AB4" s="152" t="s">
        <v>24</v>
      </c>
      <c r="AC4" s="150"/>
      <c r="AD4" s="153"/>
      <c r="AE4" s="16"/>
      <c r="AF4" s="109" t="s">
        <v>36</v>
      </c>
      <c r="AG4" s="111"/>
      <c r="AH4" s="112" t="s">
        <v>37</v>
      </c>
      <c r="AI4" s="111"/>
      <c r="AJ4" s="112" t="s">
        <v>38</v>
      </c>
      <c r="AK4" s="111"/>
      <c r="AL4" s="112" t="s">
        <v>39</v>
      </c>
      <c r="AM4" s="111"/>
      <c r="AN4" s="112" t="s">
        <v>40</v>
      </c>
      <c r="AO4" s="111"/>
      <c r="AP4" s="112" t="s">
        <v>41</v>
      </c>
      <c r="AQ4" s="111"/>
      <c r="AR4" s="110" t="s">
        <v>91</v>
      </c>
      <c r="AS4" s="111"/>
      <c r="AT4" s="112" t="s">
        <v>42</v>
      </c>
      <c r="AU4" s="111"/>
      <c r="AV4" s="112" t="s">
        <v>44</v>
      </c>
      <c r="AW4" s="111"/>
      <c r="AX4" s="112" t="s">
        <v>45</v>
      </c>
      <c r="AY4" s="111"/>
      <c r="AZ4" s="112" t="s">
        <v>46</v>
      </c>
      <c r="BA4" s="111"/>
      <c r="BB4" s="112" t="s">
        <v>47</v>
      </c>
      <c r="BC4" s="111"/>
      <c r="BD4" s="112" t="s">
        <v>43</v>
      </c>
      <c r="BE4" s="111"/>
      <c r="BF4" s="112" t="s">
        <v>48</v>
      </c>
      <c r="BG4" s="111"/>
      <c r="BH4" s="112" t="s">
        <v>49</v>
      </c>
      <c r="BI4" s="111"/>
      <c r="BJ4" s="112" t="s">
        <v>50</v>
      </c>
      <c r="BK4" s="125"/>
      <c r="BL4" s="17"/>
      <c r="BM4" s="129" t="s">
        <v>55</v>
      </c>
      <c r="BN4" s="124"/>
      <c r="BO4" s="119" t="s">
        <v>92</v>
      </c>
      <c r="BP4" s="124"/>
      <c r="BQ4" s="119" t="s">
        <v>56</v>
      </c>
      <c r="BR4" s="124"/>
      <c r="BS4" s="119" t="s">
        <v>57</v>
      </c>
      <c r="BT4" s="120"/>
      <c r="BV4" s="90" t="s">
        <v>70</v>
      </c>
      <c r="BW4" s="121" t="s">
        <v>75</v>
      </c>
      <c r="BX4" s="123"/>
      <c r="BY4" s="91" t="s">
        <v>69</v>
      </c>
      <c r="BZ4" s="92"/>
      <c r="CA4" s="121" t="s">
        <v>84</v>
      </c>
      <c r="CB4" s="122"/>
      <c r="CC4" s="122"/>
      <c r="CD4" s="122"/>
      <c r="CE4" s="122"/>
      <c r="CF4" s="123"/>
      <c r="CG4" s="54" t="s">
        <v>80</v>
      </c>
      <c r="CH4" s="54" t="s">
        <v>72</v>
      </c>
      <c r="CI4" s="55" t="s">
        <v>111</v>
      </c>
      <c r="CJ4" s="56" t="s">
        <v>71</v>
      </c>
      <c r="CL4" s="160" t="s">
        <v>114</v>
      </c>
      <c r="CM4" s="147"/>
      <c r="CN4" s="161"/>
    </row>
    <row r="5" spans="1:92" s="1" customFormat="1" x14ac:dyDescent="0.25">
      <c r="B5" s="95" t="s">
        <v>0</v>
      </c>
      <c r="C5" s="96" t="s">
        <v>0</v>
      </c>
      <c r="D5" s="138" t="s">
        <v>3</v>
      </c>
      <c r="E5" s="13" t="s">
        <v>357</v>
      </c>
      <c r="F5" s="11" t="s">
        <v>358</v>
      </c>
      <c r="G5" s="11" t="s">
        <v>5</v>
      </c>
      <c r="H5" s="11" t="s">
        <v>6</v>
      </c>
      <c r="I5" s="11" t="s">
        <v>359</v>
      </c>
      <c r="J5" s="11" t="s">
        <v>360</v>
      </c>
      <c r="K5" s="11" t="s">
        <v>7</v>
      </c>
      <c r="L5" s="11" t="s">
        <v>361</v>
      </c>
      <c r="M5" s="12" t="s">
        <v>10</v>
      </c>
      <c r="N5" s="72" t="s">
        <v>14</v>
      </c>
      <c r="O5" s="73" t="s">
        <v>14</v>
      </c>
      <c r="P5" s="74" t="s">
        <v>14</v>
      </c>
      <c r="Q5" s="3" t="s">
        <v>18</v>
      </c>
      <c r="R5" s="3" t="s">
        <v>19</v>
      </c>
      <c r="S5" s="7" t="s">
        <v>21</v>
      </c>
      <c r="T5" s="82" t="s">
        <v>6</v>
      </c>
      <c r="U5" s="82" t="s">
        <v>7</v>
      </c>
      <c r="V5" s="82" t="s">
        <v>5</v>
      </c>
      <c r="W5" s="80" t="s">
        <v>6</v>
      </c>
      <c r="X5" s="80" t="s">
        <v>7</v>
      </c>
      <c r="Y5" s="39" t="s">
        <v>26</v>
      </c>
      <c r="Z5" s="40" t="s">
        <v>27</v>
      </c>
      <c r="AA5" s="40" t="s">
        <v>28</v>
      </c>
      <c r="AB5" s="40" t="s">
        <v>29</v>
      </c>
      <c r="AC5" s="40" t="s">
        <v>30</v>
      </c>
      <c r="AD5" s="41" t="s">
        <v>31</v>
      </c>
      <c r="AE5" s="17"/>
      <c r="AF5" s="64" t="s">
        <v>15</v>
      </c>
      <c r="AG5" s="65" t="s">
        <v>17</v>
      </c>
      <c r="AH5" s="65" t="s">
        <v>15</v>
      </c>
      <c r="AI5" s="65" t="s">
        <v>17</v>
      </c>
      <c r="AJ5" s="65" t="s">
        <v>15</v>
      </c>
      <c r="AK5" s="65" t="s">
        <v>17</v>
      </c>
      <c r="AL5" s="65" t="s">
        <v>15</v>
      </c>
      <c r="AM5" s="65" t="s">
        <v>17</v>
      </c>
      <c r="AN5" s="65" t="s">
        <v>15</v>
      </c>
      <c r="AO5" s="65" t="s">
        <v>17</v>
      </c>
      <c r="AP5" s="65" t="s">
        <v>15</v>
      </c>
      <c r="AQ5" s="66" t="s">
        <v>17</v>
      </c>
      <c r="AR5" s="65" t="s">
        <v>15</v>
      </c>
      <c r="AS5" s="66" t="s">
        <v>17</v>
      </c>
      <c r="AT5" s="65" t="s">
        <v>15</v>
      </c>
      <c r="AU5" s="65" t="s">
        <v>17</v>
      </c>
      <c r="AV5" s="65" t="s">
        <v>15</v>
      </c>
      <c r="AW5" s="65" t="s">
        <v>17</v>
      </c>
      <c r="AX5" s="65" t="s">
        <v>15</v>
      </c>
      <c r="AY5" s="65" t="s">
        <v>17</v>
      </c>
      <c r="AZ5" s="65" t="s">
        <v>15</v>
      </c>
      <c r="BA5" s="65" t="s">
        <v>17</v>
      </c>
      <c r="BB5" s="65" t="s">
        <v>15</v>
      </c>
      <c r="BC5" s="65" t="s">
        <v>17</v>
      </c>
      <c r="BD5" s="65" t="s">
        <v>15</v>
      </c>
      <c r="BE5" s="65" t="s">
        <v>17</v>
      </c>
      <c r="BF5" s="65" t="s">
        <v>15</v>
      </c>
      <c r="BG5" s="65" t="s">
        <v>17</v>
      </c>
      <c r="BH5" s="65" t="s">
        <v>15</v>
      </c>
      <c r="BI5" s="65" t="s">
        <v>17</v>
      </c>
      <c r="BJ5" s="65" t="s">
        <v>15</v>
      </c>
      <c r="BK5" s="67" t="s">
        <v>17</v>
      </c>
      <c r="BL5" s="17"/>
      <c r="BM5" s="46" t="s">
        <v>53</v>
      </c>
      <c r="BN5" s="47" t="s">
        <v>54</v>
      </c>
      <c r="BO5" s="47" t="s">
        <v>53</v>
      </c>
      <c r="BP5" s="48" t="s">
        <v>54</v>
      </c>
      <c r="BQ5" s="47" t="s">
        <v>53</v>
      </c>
      <c r="BR5" s="47" t="s">
        <v>54</v>
      </c>
      <c r="BS5" s="47" t="s">
        <v>53</v>
      </c>
      <c r="BT5" s="49" t="s">
        <v>54</v>
      </c>
      <c r="BV5" s="57" t="s">
        <v>67</v>
      </c>
      <c r="BW5" s="58" t="s">
        <v>74</v>
      </c>
      <c r="BX5" s="58" t="s">
        <v>76</v>
      </c>
      <c r="BY5" s="58" t="s">
        <v>14</v>
      </c>
      <c r="BZ5" s="59" t="s">
        <v>83</v>
      </c>
      <c r="CA5" s="59" t="s">
        <v>89</v>
      </c>
      <c r="CB5" s="59" t="s">
        <v>85</v>
      </c>
      <c r="CC5" s="59" t="s">
        <v>86</v>
      </c>
      <c r="CD5" s="59" t="s">
        <v>87</v>
      </c>
      <c r="CE5" s="59" t="s">
        <v>88</v>
      </c>
      <c r="CF5" s="59" t="s">
        <v>90</v>
      </c>
      <c r="CG5" s="58" t="s">
        <v>82</v>
      </c>
      <c r="CH5" s="58" t="s">
        <v>74</v>
      </c>
      <c r="CI5" s="58"/>
      <c r="CJ5" s="60" t="s">
        <v>78</v>
      </c>
      <c r="CL5" s="84" t="s">
        <v>6</v>
      </c>
      <c r="CM5" s="82" t="s">
        <v>7</v>
      </c>
      <c r="CN5" s="86" t="s">
        <v>5</v>
      </c>
    </row>
    <row r="6" spans="1:92" s="1" customFormat="1" ht="15" customHeight="1" thickBot="1" x14ac:dyDescent="0.3">
      <c r="B6" s="10" t="s">
        <v>1</v>
      </c>
      <c r="C6" s="29" t="s">
        <v>2</v>
      </c>
      <c r="D6" s="139"/>
      <c r="E6" s="30" t="s">
        <v>8</v>
      </c>
      <c r="F6" s="26" t="s">
        <v>8</v>
      </c>
      <c r="G6" s="26" t="s">
        <v>12</v>
      </c>
      <c r="H6" s="26" t="s">
        <v>12</v>
      </c>
      <c r="I6" s="26" t="s">
        <v>12</v>
      </c>
      <c r="J6" s="26" t="s">
        <v>12</v>
      </c>
      <c r="K6" s="26" t="s">
        <v>12</v>
      </c>
      <c r="L6" s="26" t="s">
        <v>9</v>
      </c>
      <c r="M6" s="31" t="s">
        <v>11</v>
      </c>
      <c r="N6" s="75" t="s">
        <v>13</v>
      </c>
      <c r="O6" s="76" t="s">
        <v>13</v>
      </c>
      <c r="P6" s="76" t="s">
        <v>13</v>
      </c>
      <c r="Q6" s="4" t="s">
        <v>13</v>
      </c>
      <c r="R6" s="4" t="s">
        <v>13</v>
      </c>
      <c r="S6" s="8" t="s">
        <v>22</v>
      </c>
      <c r="T6" s="83" t="s">
        <v>23</v>
      </c>
      <c r="U6" s="83" t="s">
        <v>23</v>
      </c>
      <c r="V6" s="83" t="s">
        <v>23</v>
      </c>
      <c r="W6" s="81" t="s">
        <v>116</v>
      </c>
      <c r="X6" s="81" t="s">
        <v>117</v>
      </c>
      <c r="Y6" s="42" t="s">
        <v>32</v>
      </c>
      <c r="Z6" s="43" t="s">
        <v>32</v>
      </c>
      <c r="AA6" s="43" t="s">
        <v>32</v>
      </c>
      <c r="AB6" s="43" t="s">
        <v>33</v>
      </c>
      <c r="AC6" s="43" t="s">
        <v>33</v>
      </c>
      <c r="AD6" s="44" t="s">
        <v>33</v>
      </c>
      <c r="AE6" s="17"/>
      <c r="AF6" s="68" t="s">
        <v>13</v>
      </c>
      <c r="AG6" s="69" t="s">
        <v>13</v>
      </c>
      <c r="AH6" s="69" t="s">
        <v>13</v>
      </c>
      <c r="AI6" s="69" t="s">
        <v>13</v>
      </c>
      <c r="AJ6" s="69" t="s">
        <v>13</v>
      </c>
      <c r="AK6" s="69" t="s">
        <v>13</v>
      </c>
      <c r="AL6" s="69" t="s">
        <v>13</v>
      </c>
      <c r="AM6" s="69" t="s">
        <v>13</v>
      </c>
      <c r="AN6" s="69" t="s">
        <v>13</v>
      </c>
      <c r="AO6" s="69" t="s">
        <v>13</v>
      </c>
      <c r="AP6" s="69" t="s">
        <v>13</v>
      </c>
      <c r="AQ6" s="70" t="s">
        <v>13</v>
      </c>
      <c r="AR6" s="69" t="s">
        <v>13</v>
      </c>
      <c r="AS6" s="70" t="s">
        <v>13</v>
      </c>
      <c r="AT6" s="69" t="s">
        <v>13</v>
      </c>
      <c r="AU6" s="69" t="s">
        <v>13</v>
      </c>
      <c r="AV6" s="69" t="s">
        <v>13</v>
      </c>
      <c r="AW6" s="69" t="s">
        <v>13</v>
      </c>
      <c r="AX6" s="69" t="s">
        <v>13</v>
      </c>
      <c r="AY6" s="69" t="s">
        <v>13</v>
      </c>
      <c r="AZ6" s="69" t="s">
        <v>13</v>
      </c>
      <c r="BA6" s="69" t="s">
        <v>13</v>
      </c>
      <c r="BB6" s="69" t="s">
        <v>13</v>
      </c>
      <c r="BC6" s="69" t="s">
        <v>13</v>
      </c>
      <c r="BD6" s="69" t="s">
        <v>13</v>
      </c>
      <c r="BE6" s="69" t="s">
        <v>13</v>
      </c>
      <c r="BF6" s="69" t="s">
        <v>13</v>
      </c>
      <c r="BG6" s="69" t="s">
        <v>13</v>
      </c>
      <c r="BH6" s="69" t="s">
        <v>13</v>
      </c>
      <c r="BI6" s="69" t="s">
        <v>13</v>
      </c>
      <c r="BJ6" s="69" t="s">
        <v>13</v>
      </c>
      <c r="BK6" s="71" t="s">
        <v>13</v>
      </c>
      <c r="BL6" s="17"/>
      <c r="BM6" s="50" t="s">
        <v>51</v>
      </c>
      <c r="BN6" s="51" t="s">
        <v>52</v>
      </c>
      <c r="BO6" s="51" t="s">
        <v>51</v>
      </c>
      <c r="BP6" s="52" t="s">
        <v>52</v>
      </c>
      <c r="BQ6" s="51" t="s">
        <v>51</v>
      </c>
      <c r="BR6" s="51" t="s">
        <v>52</v>
      </c>
      <c r="BS6" s="51" t="s">
        <v>51</v>
      </c>
      <c r="BT6" s="53" t="s">
        <v>52</v>
      </c>
      <c r="BV6" s="61" t="s">
        <v>93</v>
      </c>
      <c r="BW6" s="62" t="s">
        <v>22</v>
      </c>
      <c r="BX6" s="62" t="s">
        <v>22</v>
      </c>
      <c r="BY6" s="62" t="s">
        <v>81</v>
      </c>
      <c r="BZ6" s="62" t="s">
        <v>68</v>
      </c>
      <c r="CA6" s="62" t="s">
        <v>22</v>
      </c>
      <c r="CB6" s="62" t="s">
        <v>22</v>
      </c>
      <c r="CC6" s="62" t="s">
        <v>22</v>
      </c>
      <c r="CD6" s="62" t="s">
        <v>22</v>
      </c>
      <c r="CE6" s="62" t="s">
        <v>22</v>
      </c>
      <c r="CF6" s="62" t="s">
        <v>22</v>
      </c>
      <c r="CG6" s="62" t="s">
        <v>22</v>
      </c>
      <c r="CH6" s="62" t="s">
        <v>73</v>
      </c>
      <c r="CI6" s="62" t="s">
        <v>22</v>
      </c>
      <c r="CJ6" s="63" t="s">
        <v>77</v>
      </c>
      <c r="CL6" s="85" t="s">
        <v>23</v>
      </c>
      <c r="CM6" s="83" t="s">
        <v>23</v>
      </c>
      <c r="CN6" s="87" t="s">
        <v>23</v>
      </c>
    </row>
    <row r="7" spans="1:92" s="1" customFormat="1" outlineLevel="1" x14ac:dyDescent="0.25">
      <c r="B7" s="2" t="s">
        <v>97</v>
      </c>
      <c r="C7" s="2" t="s">
        <v>66</v>
      </c>
      <c r="D7" s="27" t="s">
        <v>113</v>
      </c>
      <c r="E7" s="15">
        <v>38</v>
      </c>
      <c r="F7" s="2">
        <v>58</v>
      </c>
      <c r="G7" s="21">
        <v>3</v>
      </c>
      <c r="H7" s="21">
        <v>1</v>
      </c>
      <c r="I7" s="21">
        <v>13</v>
      </c>
      <c r="J7" s="21">
        <v>11</v>
      </c>
      <c r="K7" s="21">
        <f t="shared" ref="K7:K43" si="0">IF(OR(ISBLANK($E7),ISBLANK($F7)),"",DEGREES(ASIN(($F7-$E7)/1540)))</f>
        <v>0.74412195121600655</v>
      </c>
      <c r="L7" s="2">
        <v>9.125</v>
      </c>
      <c r="M7" s="28">
        <v>11</v>
      </c>
      <c r="N7" s="89">
        <v>116.9462</v>
      </c>
      <c r="O7" s="78">
        <v>-3.1579809999999999</v>
      </c>
      <c r="P7" s="78">
        <v>247.51900000000001</v>
      </c>
      <c r="Q7" s="23" t="str">
        <f t="shared" ref="Q7:Q43" si="1">IF(OR(ISERROR($P7*$X7/100),$X7=0),"",$P7*$X7/100)</f>
        <v/>
      </c>
      <c r="R7" s="23" t="str">
        <f t="shared" ref="R7:R43" si="2">IF(OR(ISERROR($P7*(1-($X7/100))),$X7=0),"",$P7*(1-($X7/100)))</f>
        <v/>
      </c>
      <c r="S7" s="25">
        <f t="shared" ref="S7:S43" si="3">IF(OR(ISERROR($P7/$N7),$P7=0),"",$P7/$N7)</f>
        <v>2.1165202460618642</v>
      </c>
      <c r="T7" s="21">
        <v>2.9004989999999999</v>
      </c>
      <c r="U7" s="21">
        <v>-8.9318570000000008</v>
      </c>
      <c r="V7" s="21">
        <v>-24.838609999999999</v>
      </c>
      <c r="W7" s="21" t="str">
        <f t="shared" ref="W7:W16" si="4">IF(OR(ISERROR(($CL7*100)/(0.6*$P7)),$CL7=0),"",($CL7*100)/(0.6*$P7))</f>
        <v/>
      </c>
      <c r="X7" s="32" t="str">
        <f t="shared" ref="X7:X43" si="5">IF(OR(ISERROR(100-(-$CM7*100)/(1.54*$P7)),$CM7=0),"",100-(-$CM7*100)/(1.54*$P7))</f>
        <v/>
      </c>
      <c r="Y7" s="33">
        <f>IF(OR(ISERROR($N7/$M7),$N7=0),"",($N7*2)/(1.225*($M7^2)))</f>
        <v>1.5779551357733175</v>
      </c>
      <c r="Z7" s="25">
        <f>IF(OR(ISERROR($O7/$M7),$O7=0),"",($O7*2)/(1.225*($M7^2)))</f>
        <v>-4.2610639230898965E-2</v>
      </c>
      <c r="AA7" s="25">
        <f>IF(OR(ISERROR($P7/$M7),$P7=0),"",($P7*2)/(1.225*($M7^2)))</f>
        <v>3.3397739922415242</v>
      </c>
      <c r="AB7" s="25">
        <f>IF(OR(ISERROR($T7/$M7),$T7=0),"",($T7*2)/(1.225*($M7^2)))</f>
        <v>3.9136434474616288E-2</v>
      </c>
      <c r="AC7" s="25">
        <f>IF(OR(ISERROR($U7/$M7),$U7=0),"",($U7*2)/(1.225*($M7^2)))</f>
        <v>-0.12051755102040816</v>
      </c>
      <c r="AD7" s="34">
        <f t="shared" ref="AD7:AD16" si="6">IF(OR(ISERROR($V7/$M7),$V7=0),"",($V7*2)/(1.225*($M7^2)))</f>
        <v>-0.33514737729802657</v>
      </c>
      <c r="AE7" s="18"/>
      <c r="AF7" s="24">
        <v>4.8197172155483896</v>
      </c>
      <c r="AG7" s="23">
        <v>38.8214713407692</v>
      </c>
      <c r="AH7" s="23">
        <v>4.3535318359064696</v>
      </c>
      <c r="AI7" s="23">
        <v>33.216599105337302</v>
      </c>
      <c r="AJ7" s="23">
        <v>7.81946321883329</v>
      </c>
      <c r="AK7" s="23">
        <v>57.3533390850519</v>
      </c>
      <c r="AL7" s="23">
        <v>41.9274984909285</v>
      </c>
      <c r="AM7" s="23">
        <v>71.856721533880801</v>
      </c>
      <c r="AN7" s="23">
        <v>7.2134996417529003</v>
      </c>
      <c r="AO7" s="23">
        <v>13.3731601910753</v>
      </c>
      <c r="AP7" s="23">
        <v>8.0205422449911801</v>
      </c>
      <c r="AQ7" s="23">
        <v>14.7629982123456</v>
      </c>
      <c r="AR7" s="23">
        <v>2.7028138206381298</v>
      </c>
      <c r="AS7" s="23">
        <v>21.356191508849399</v>
      </c>
      <c r="AT7" s="23">
        <v>14.3180189568704</v>
      </c>
      <c r="AU7" s="23">
        <v>13.1832882753646</v>
      </c>
      <c r="AV7" s="23" t="s">
        <v>94</v>
      </c>
      <c r="AW7" s="23" t="s">
        <v>94</v>
      </c>
      <c r="AX7" s="23" t="s">
        <v>94</v>
      </c>
      <c r="AY7" s="23" t="s">
        <v>94</v>
      </c>
      <c r="AZ7" s="23" t="s">
        <v>94</v>
      </c>
      <c r="BA7" s="23" t="s">
        <v>94</v>
      </c>
      <c r="BB7" s="23" t="s">
        <v>94</v>
      </c>
      <c r="BC7" s="23" t="s">
        <v>94</v>
      </c>
      <c r="BD7" s="23" t="s">
        <v>94</v>
      </c>
      <c r="BE7" s="23" t="s">
        <v>94</v>
      </c>
      <c r="BF7" s="23" t="s">
        <v>94</v>
      </c>
      <c r="BG7" s="23" t="s">
        <v>94</v>
      </c>
      <c r="BH7" s="23" t="s">
        <v>94</v>
      </c>
      <c r="BI7" s="23" t="s">
        <v>94</v>
      </c>
      <c r="BJ7" s="23" t="s">
        <v>94</v>
      </c>
      <c r="BK7" s="36" t="s">
        <v>94</v>
      </c>
      <c r="BL7" s="2"/>
      <c r="BM7" s="35">
        <v>0.123947828980927</v>
      </c>
      <c r="BN7" s="21">
        <v>54.718898608117101</v>
      </c>
      <c r="BO7" s="25">
        <v>0.12606440971941499</v>
      </c>
      <c r="BP7" s="21">
        <v>60.747729504081398</v>
      </c>
      <c r="BQ7" s="25">
        <v>0.123959064167307</v>
      </c>
      <c r="BR7" s="21">
        <v>73.137681802812594</v>
      </c>
      <c r="BS7" s="25">
        <v>0.12611494973594101</v>
      </c>
      <c r="BT7" s="32">
        <v>65.078559915713797</v>
      </c>
      <c r="BV7" s="37">
        <f>31393374/1000000</f>
        <v>31.393374000000001</v>
      </c>
      <c r="BW7" s="1">
        <v>1703</v>
      </c>
      <c r="BX7" s="1">
        <v>1130</v>
      </c>
      <c r="BY7" s="21">
        <f>160216.663477287/3600</f>
        <v>44.50462874369083</v>
      </c>
      <c r="BZ7" s="21">
        <v>112.265572779498</v>
      </c>
      <c r="CA7" s="45">
        <v>3.5379581466415799E-6</v>
      </c>
      <c r="CB7" s="45">
        <v>3.0637779888607899E-3</v>
      </c>
      <c r="CC7" s="45">
        <v>7.7189657344083797E-5</v>
      </c>
      <c r="CD7" s="45">
        <v>1.8392162888189201E-4</v>
      </c>
      <c r="CE7" s="45">
        <v>1.9372402017580099E-4</v>
      </c>
      <c r="CF7" s="45">
        <v>1.8057744631374799E-4</v>
      </c>
      <c r="CG7" s="23">
        <v>228</v>
      </c>
      <c r="CH7" s="21">
        <v>25.543510437011701</v>
      </c>
      <c r="CI7" s="21" t="s">
        <v>112</v>
      </c>
      <c r="CJ7" s="38">
        <v>44283</v>
      </c>
      <c r="CL7" s="88"/>
      <c r="CN7" s="20"/>
    </row>
    <row r="8" spans="1:92" s="1" customFormat="1" outlineLevel="1" x14ac:dyDescent="0.25">
      <c r="A8" s="2"/>
      <c r="B8" s="2" t="s">
        <v>96</v>
      </c>
      <c r="C8" s="1" t="s">
        <v>95</v>
      </c>
      <c r="D8" s="20" t="s">
        <v>101</v>
      </c>
      <c r="E8" s="19">
        <v>38</v>
      </c>
      <c r="F8" s="2">
        <v>58</v>
      </c>
      <c r="G8" s="21">
        <v>3</v>
      </c>
      <c r="H8" s="21">
        <v>1</v>
      </c>
      <c r="I8" s="21">
        <v>13</v>
      </c>
      <c r="J8" s="21">
        <v>11</v>
      </c>
      <c r="K8" s="21">
        <f t="shared" si="0"/>
        <v>0.74412195121600655</v>
      </c>
      <c r="L8" s="2">
        <v>9.125</v>
      </c>
      <c r="M8" s="20">
        <v>11</v>
      </c>
      <c r="N8" s="77">
        <v>116.71559999999999</v>
      </c>
      <c r="O8" s="78">
        <v>-3.7236220000000002</v>
      </c>
      <c r="P8" s="78">
        <v>245.2466</v>
      </c>
      <c r="Q8" s="23" t="str">
        <f t="shared" si="1"/>
        <v/>
      </c>
      <c r="R8" s="23" t="str">
        <f t="shared" si="2"/>
        <v/>
      </c>
      <c r="S8" s="25">
        <f t="shared" si="3"/>
        <v>2.1012323973830407</v>
      </c>
      <c r="T8" s="21">
        <v>2.4477850000000001</v>
      </c>
      <c r="U8" s="21">
        <v>-10.221170000000001</v>
      </c>
      <c r="V8" s="21">
        <v>-25.47072</v>
      </c>
      <c r="W8" s="21" t="str">
        <f t="shared" si="4"/>
        <v/>
      </c>
      <c r="X8" s="32" t="str">
        <f t="shared" si="5"/>
        <v/>
      </c>
      <c r="Y8" s="35">
        <f>IF(OR(ISERROR($N8/$M8),$N8=0),"",($N8*2)/(1.225*($M8^2)))</f>
        <v>1.5748436498566365</v>
      </c>
      <c r="Z8" s="25">
        <f>IF(OR(ISERROR($O8/$M8),$O8=0),"",($O8*2)/(1.225*($M8^2)))</f>
        <v>-5.0242833530106251E-2</v>
      </c>
      <c r="AA8" s="25">
        <f>IF(OR(ISERROR($P8/$M8),$P8=0),"",($P8*2)/(1.225*($M8^2)))</f>
        <v>3.3091124978917184</v>
      </c>
      <c r="AB8" s="25">
        <f>IF(OR(ISERROR($T8/$M8),$T8=0),"",($T8*2)/(1.225*($M8^2)))</f>
        <v>3.3027964243548653E-2</v>
      </c>
      <c r="AC8" s="25">
        <f>IF(OR(ISERROR($U8/$M8),$U8=0),"",($U8*2)/(1.225*($M8^2)))</f>
        <v>-0.13791425198178445</v>
      </c>
      <c r="AD8" s="34">
        <f t="shared" si="6"/>
        <v>-0.34367643784786639</v>
      </c>
      <c r="AE8" s="2"/>
      <c r="AF8" s="24">
        <v>4.8708678342837501</v>
      </c>
      <c r="AG8" s="23">
        <v>38.4147457774759</v>
      </c>
      <c r="AH8" s="23">
        <v>4.1554155555764698</v>
      </c>
      <c r="AI8" s="23">
        <v>31.471767940672301</v>
      </c>
      <c r="AJ8" s="23">
        <v>7.7807694338043003</v>
      </c>
      <c r="AK8" s="23">
        <v>57.080067363309396</v>
      </c>
      <c r="AL8" s="23">
        <v>43.2202869539895</v>
      </c>
      <c r="AM8" s="23">
        <v>74.511698300122006</v>
      </c>
      <c r="AN8" s="23">
        <v>7.1835779308698502</v>
      </c>
      <c r="AO8" s="23">
        <v>13.1469130651392</v>
      </c>
      <c r="AP8" s="23">
        <v>8.0197522118789895</v>
      </c>
      <c r="AQ8" s="23">
        <v>14.275129662929</v>
      </c>
      <c r="AR8" s="23">
        <v>2.7025682474855399</v>
      </c>
      <c r="AS8" s="23">
        <v>20.977184813167401</v>
      </c>
      <c r="AT8" s="23">
        <v>14.078334651216</v>
      </c>
      <c r="AU8" s="23">
        <v>11.7162538605655</v>
      </c>
      <c r="AV8" s="23" t="s">
        <v>94</v>
      </c>
      <c r="AW8" s="23" t="s">
        <v>94</v>
      </c>
      <c r="AX8" s="23" t="s">
        <v>94</v>
      </c>
      <c r="AY8" s="23" t="s">
        <v>94</v>
      </c>
      <c r="AZ8" s="23" t="s">
        <v>94</v>
      </c>
      <c r="BA8" s="23" t="s">
        <v>94</v>
      </c>
      <c r="BB8" s="23" t="s">
        <v>94</v>
      </c>
      <c r="BC8" s="23" t="s">
        <v>94</v>
      </c>
      <c r="BD8" s="23" t="s">
        <v>94</v>
      </c>
      <c r="BE8" s="23" t="s">
        <v>94</v>
      </c>
      <c r="BF8" s="23" t="s">
        <v>94</v>
      </c>
      <c r="BG8" s="23" t="s">
        <v>94</v>
      </c>
      <c r="BH8" s="23" t="s">
        <v>94</v>
      </c>
      <c r="BI8" s="23" t="s">
        <v>94</v>
      </c>
      <c r="BJ8" s="23" t="s">
        <v>94</v>
      </c>
      <c r="BK8" s="36" t="s">
        <v>94</v>
      </c>
      <c r="BL8" s="2"/>
      <c r="BM8" s="35">
        <v>0.123605114876245</v>
      </c>
      <c r="BN8" s="21">
        <v>52.156627037555197</v>
      </c>
      <c r="BO8" s="25">
        <v>0.12557141407116401</v>
      </c>
      <c r="BP8" s="21">
        <v>62.712842710708003</v>
      </c>
      <c r="BQ8" s="25">
        <v>0.12360548911392701</v>
      </c>
      <c r="BR8" s="21">
        <v>74.402382349443698</v>
      </c>
      <c r="BS8" s="25">
        <v>0.12556979070301399</v>
      </c>
      <c r="BT8" s="32">
        <v>67.037742014621301</v>
      </c>
      <c r="BV8" s="37">
        <f>14201472/1000000</f>
        <v>14.201472000000001</v>
      </c>
      <c r="BW8" s="1">
        <v>1700</v>
      </c>
      <c r="BX8" s="1">
        <v>1130</v>
      </c>
      <c r="BY8" s="21">
        <f>52555.1023521002/3600</f>
        <v>14.598639542250055</v>
      </c>
      <c r="BZ8" s="21">
        <v>33.304693946500898</v>
      </c>
      <c r="CA8" s="45">
        <v>8.7037216087125502E-6</v>
      </c>
      <c r="CB8" s="45">
        <v>5.55307637983636E-3</v>
      </c>
      <c r="CC8" s="45">
        <v>1.12537906868554E-4</v>
      </c>
      <c r="CD8" s="45">
        <v>3.19293634644325E-4</v>
      </c>
      <c r="CE8" s="45">
        <v>3.2328774778467799E-4</v>
      </c>
      <c r="CF8" s="45">
        <v>3.02811930270872E-4</v>
      </c>
      <c r="CG8" s="23">
        <v>228</v>
      </c>
      <c r="CH8" s="21" t="s">
        <v>94</v>
      </c>
      <c r="CI8" s="21" t="s">
        <v>112</v>
      </c>
      <c r="CJ8" s="38">
        <v>44286</v>
      </c>
      <c r="CL8" s="88"/>
      <c r="CN8" s="20"/>
    </row>
    <row r="9" spans="1:92" s="1" customFormat="1" outlineLevel="1" x14ac:dyDescent="0.25">
      <c r="B9" s="1" t="s">
        <v>98</v>
      </c>
      <c r="C9" s="1" t="s">
        <v>99</v>
      </c>
      <c r="D9" s="20" t="s">
        <v>102</v>
      </c>
      <c r="E9" s="19">
        <v>38</v>
      </c>
      <c r="F9" s="2">
        <v>58</v>
      </c>
      <c r="G9" s="21">
        <v>3</v>
      </c>
      <c r="H9" s="21">
        <v>1</v>
      </c>
      <c r="I9" s="21">
        <v>13</v>
      </c>
      <c r="J9" s="21">
        <v>11</v>
      </c>
      <c r="K9" s="21">
        <f t="shared" si="0"/>
        <v>0.74412195121600655</v>
      </c>
      <c r="L9" s="2">
        <v>9.125</v>
      </c>
      <c r="M9" s="20">
        <v>11</v>
      </c>
      <c r="N9" s="77">
        <v>117.6134</v>
      </c>
      <c r="O9" s="78">
        <v>-4.5093670000000001</v>
      </c>
      <c r="P9" s="78">
        <v>245.5009</v>
      </c>
      <c r="Q9" s="23" t="str">
        <f t="shared" si="1"/>
        <v/>
      </c>
      <c r="R9" s="23" t="str">
        <f t="shared" si="2"/>
        <v/>
      </c>
      <c r="S9" s="25">
        <f t="shared" si="3"/>
        <v>2.0873548422203592</v>
      </c>
      <c r="T9" s="21">
        <v>3.319207</v>
      </c>
      <c r="U9" s="21">
        <v>-12.01064</v>
      </c>
      <c r="V9" s="21">
        <v>-26.889060000000001</v>
      </c>
      <c r="W9" s="21" t="str">
        <f t="shared" si="4"/>
        <v/>
      </c>
      <c r="X9" s="32" t="str">
        <f t="shared" si="5"/>
        <v/>
      </c>
      <c r="Y9" s="35">
        <f>IF(OR(ISERROR($N9/$M9),$N9=0),"",($N9*2)/(1.225*($M9^2)))</f>
        <v>1.5869576657109121</v>
      </c>
      <c r="Z9" s="25">
        <f t="shared" ref="Z9:Z16" si="7">IF(OR(ISERROR($O9/$M9),$O9=0),"",($O9*2)/(1.225*($M9^2)))</f>
        <v>-6.0844891212683411E-2</v>
      </c>
      <c r="AA9" s="25">
        <f t="shared" ref="AA9:AA71" si="8">IF(OR(ISERROR($P9/$M9),$P9=0),"",($P9*2)/(1.225*($M9^2)))</f>
        <v>3.3125437679203906</v>
      </c>
      <c r="AB9" s="25">
        <f t="shared" ref="AB9:AB16" si="9">IF(OR(ISERROR($T9/$M9),$T9=0),"",($T9*2)/(1.225*($M9^2)))</f>
        <v>4.4786061730477306E-2</v>
      </c>
      <c r="AC9" s="25">
        <f t="shared" ref="AC9:AC71" si="10">IF(OR(ISERROR($U9/$M9),$U9=0),"",($U9*2)/(1.225*($M9^2)))</f>
        <v>-0.16205957159723391</v>
      </c>
      <c r="AD9" s="34">
        <f t="shared" si="6"/>
        <v>-0.36281410018552873</v>
      </c>
      <c r="AE9" s="2"/>
      <c r="AF9" s="24">
        <v>4.8212557250804799</v>
      </c>
      <c r="AG9" s="23">
        <v>38.009229794830901</v>
      </c>
      <c r="AH9" s="23">
        <v>4.4122953109589904</v>
      </c>
      <c r="AI9" s="23">
        <v>33.712728889102998</v>
      </c>
      <c r="AJ9" s="23">
        <v>7.8228539421649002</v>
      </c>
      <c r="AK9" s="23">
        <v>57.0178396551307</v>
      </c>
      <c r="AL9" s="23">
        <v>43.673809805646798</v>
      </c>
      <c r="AM9" s="23">
        <v>75.3516711647694</v>
      </c>
      <c r="AN9" s="23">
        <v>6.8591669482330504</v>
      </c>
      <c r="AO9" s="23">
        <v>12.5134575575673</v>
      </c>
      <c r="AP9" s="23">
        <v>7.7586653919555397</v>
      </c>
      <c r="AQ9" s="23">
        <v>13.997464848100799</v>
      </c>
      <c r="AR9" s="23">
        <v>2.5479382670617898</v>
      </c>
      <c r="AS9" s="23">
        <v>20.196654576840899</v>
      </c>
      <c r="AT9" s="23">
        <v>14.2156798149179</v>
      </c>
      <c r="AU9" s="23">
        <v>11.651473110626601</v>
      </c>
      <c r="AV9" s="23" t="s">
        <v>94</v>
      </c>
      <c r="AW9" s="23" t="s">
        <v>94</v>
      </c>
      <c r="AX9" s="23" t="s">
        <v>94</v>
      </c>
      <c r="AY9" s="23" t="s">
        <v>94</v>
      </c>
      <c r="AZ9" s="23" t="s">
        <v>94</v>
      </c>
      <c r="BA9" s="23" t="s">
        <v>94</v>
      </c>
      <c r="BB9" s="23" t="s">
        <v>94</v>
      </c>
      <c r="BC9" s="23" t="s">
        <v>94</v>
      </c>
      <c r="BD9" s="23" t="s">
        <v>94</v>
      </c>
      <c r="BE9" s="23" t="s">
        <v>94</v>
      </c>
      <c r="BF9" s="23" t="s">
        <v>94</v>
      </c>
      <c r="BG9" s="23" t="s">
        <v>94</v>
      </c>
      <c r="BH9" s="23" t="s">
        <v>94</v>
      </c>
      <c r="BI9" s="23" t="s">
        <v>94</v>
      </c>
      <c r="BJ9" s="23" t="s">
        <v>94</v>
      </c>
      <c r="BK9" s="36" t="s">
        <v>94</v>
      </c>
      <c r="BL9" s="2"/>
      <c r="BM9" s="35">
        <v>0.122803921041099</v>
      </c>
      <c r="BN9" s="21">
        <v>48.568812859155599</v>
      </c>
      <c r="BO9" s="25">
        <v>0.125316760327982</v>
      </c>
      <c r="BP9" s="21">
        <v>58.918563909842398</v>
      </c>
      <c r="BQ9" s="25">
        <v>0.122807989982772</v>
      </c>
      <c r="BR9" s="21">
        <v>77.241397099828603</v>
      </c>
      <c r="BS9" s="25">
        <v>0.125287934566258</v>
      </c>
      <c r="BT9" s="32">
        <v>67.288779452219003</v>
      </c>
      <c r="BV9" s="37">
        <f>6734640/1000000</f>
        <v>6.7346399999999997</v>
      </c>
      <c r="BW9" s="1">
        <v>1700</v>
      </c>
      <c r="BX9" s="1">
        <v>1130</v>
      </c>
      <c r="BY9" s="21">
        <f>24779.2376784/3600</f>
        <v>6.8831215773333332</v>
      </c>
      <c r="BZ9" s="21">
        <v>15.544644640500101</v>
      </c>
      <c r="CA9" s="45">
        <v>1.7761928835204302E-5</v>
      </c>
      <c r="CB9" s="45">
        <v>9.69943858972332E-3</v>
      </c>
      <c r="CC9" s="45">
        <v>1.7367708403734E-4</v>
      </c>
      <c r="CD9" s="45">
        <v>4.4471699180150898E-4</v>
      </c>
      <c r="CE9" s="45">
        <v>4.55657490310401E-4</v>
      </c>
      <c r="CF9" s="45">
        <v>4.4429775471439001E-4</v>
      </c>
      <c r="CG9" s="23">
        <v>228</v>
      </c>
      <c r="CH9" s="21" t="s">
        <v>94</v>
      </c>
      <c r="CI9" s="21" t="s">
        <v>112</v>
      </c>
      <c r="CJ9" s="38">
        <v>44285</v>
      </c>
      <c r="CL9" s="88"/>
      <c r="CN9" s="20"/>
    </row>
    <row r="10" spans="1:92" s="1" customFormat="1" outlineLevel="1" x14ac:dyDescent="0.25">
      <c r="B10" s="1" t="s">
        <v>104</v>
      </c>
      <c r="C10" s="1" t="s">
        <v>100</v>
      </c>
      <c r="D10" s="20" t="s">
        <v>103</v>
      </c>
      <c r="E10" s="19">
        <v>38</v>
      </c>
      <c r="F10" s="2">
        <v>58</v>
      </c>
      <c r="G10" s="21">
        <v>3</v>
      </c>
      <c r="H10" s="21">
        <v>1</v>
      </c>
      <c r="I10" s="21">
        <v>6.5</v>
      </c>
      <c r="J10" s="21">
        <v>6</v>
      </c>
      <c r="K10" s="21">
        <f t="shared" si="0"/>
        <v>0.74412195121600655</v>
      </c>
      <c r="L10" s="2">
        <v>20</v>
      </c>
      <c r="M10" s="20">
        <v>11</v>
      </c>
      <c r="N10" s="77">
        <v>120.7422</v>
      </c>
      <c r="O10" s="78">
        <v>6.2374830000000001</v>
      </c>
      <c r="P10" s="78">
        <v>254.1103</v>
      </c>
      <c r="Q10" s="23" t="str">
        <f t="shared" si="1"/>
        <v/>
      </c>
      <c r="R10" s="23" t="str">
        <f t="shared" si="2"/>
        <v/>
      </c>
      <c r="S10" s="25">
        <f t="shared" si="3"/>
        <v>2.1045690736130367</v>
      </c>
      <c r="T10" s="21">
        <v>3.9312849999999999</v>
      </c>
      <c r="U10" s="21">
        <v>-15.7332</v>
      </c>
      <c r="V10" s="21">
        <v>-12.698919999999999</v>
      </c>
      <c r="W10" s="21" t="str">
        <f t="shared" si="4"/>
        <v/>
      </c>
      <c r="X10" s="32" t="str">
        <f t="shared" si="5"/>
        <v/>
      </c>
      <c r="Y10" s="35">
        <f>IF(OR(ISERROR($N10/$M10),$N10=0),"",($N10*2)/(1.225*($M10^2)))</f>
        <v>1.629174565694046</v>
      </c>
      <c r="Z10" s="25">
        <f t="shared" si="7"/>
        <v>8.416236127508854E-2</v>
      </c>
      <c r="AA10" s="25">
        <f t="shared" si="8"/>
        <v>3.4287104064766396</v>
      </c>
      <c r="AB10" s="25">
        <f t="shared" si="9"/>
        <v>5.3044830494181135E-2</v>
      </c>
      <c r="AC10" s="25">
        <f t="shared" si="10"/>
        <v>-0.21228807556080281</v>
      </c>
      <c r="AD10" s="34">
        <f t="shared" si="6"/>
        <v>-0.17134653398549499</v>
      </c>
      <c r="AE10" s="2"/>
      <c r="AF10" s="24">
        <v>5.2711242676544403</v>
      </c>
      <c r="AG10" s="23">
        <v>40.621365796191199</v>
      </c>
      <c r="AH10" s="23">
        <v>4.4802037738443197</v>
      </c>
      <c r="AI10" s="23">
        <v>32.928207582924699</v>
      </c>
      <c r="AJ10" s="23">
        <v>7.8035443392553603</v>
      </c>
      <c r="AK10" s="23">
        <v>55.2654686486675</v>
      </c>
      <c r="AL10" s="23">
        <v>44.680487384188098</v>
      </c>
      <c r="AM10" s="23">
        <v>77.678029172323903</v>
      </c>
      <c r="AN10" s="23">
        <v>7.6328690225079097</v>
      </c>
      <c r="AO10" s="23">
        <v>13.1785494486996</v>
      </c>
      <c r="AP10" s="23">
        <v>7.7788578616399198</v>
      </c>
      <c r="AQ10" s="23">
        <v>13.5914921583409</v>
      </c>
      <c r="AR10" s="23">
        <v>2.7954949959868398</v>
      </c>
      <c r="AS10" s="23">
        <v>22.329541293888401</v>
      </c>
      <c r="AT10" s="23">
        <v>15.0478665118151</v>
      </c>
      <c r="AU10" s="23">
        <v>12.8851343201361</v>
      </c>
      <c r="AV10" s="23" t="s">
        <v>94</v>
      </c>
      <c r="AW10" s="23" t="s">
        <v>94</v>
      </c>
      <c r="AX10" s="23" t="s">
        <v>94</v>
      </c>
      <c r="AY10" s="23" t="s">
        <v>94</v>
      </c>
      <c r="AZ10" s="23" t="s">
        <v>94</v>
      </c>
      <c r="BA10" s="23" t="s">
        <v>94</v>
      </c>
      <c r="BB10" s="23" t="s">
        <v>94</v>
      </c>
      <c r="BC10" s="23" t="s">
        <v>94</v>
      </c>
      <c r="BD10" s="23" t="s">
        <v>94</v>
      </c>
      <c r="BE10" s="23" t="s">
        <v>94</v>
      </c>
      <c r="BF10" s="23" t="s">
        <v>94</v>
      </c>
      <c r="BG10" s="23" t="s">
        <v>94</v>
      </c>
      <c r="BH10" s="23" t="s">
        <v>94</v>
      </c>
      <c r="BI10" s="23" t="s">
        <v>94</v>
      </c>
      <c r="BJ10" s="23" t="s">
        <v>94</v>
      </c>
      <c r="BK10" s="36" t="s">
        <v>94</v>
      </c>
      <c r="BL10" s="2"/>
      <c r="BM10" s="35">
        <v>0.124812094450689</v>
      </c>
      <c r="BN10" s="21">
        <v>49.173918352961799</v>
      </c>
      <c r="BO10" s="25">
        <v>0.12625317197747199</v>
      </c>
      <c r="BP10" s="21">
        <v>54.558634135478101</v>
      </c>
      <c r="BQ10" s="25">
        <v>0.124840091223813</v>
      </c>
      <c r="BR10" s="21">
        <v>69.544330893233493</v>
      </c>
      <c r="BS10" s="25">
        <v>0.126228211546416</v>
      </c>
      <c r="BT10" s="32">
        <v>64.652106101704007</v>
      </c>
      <c r="BV10" s="37">
        <f>31577968/1000000</f>
        <v>31.577967999999998</v>
      </c>
      <c r="BW10" s="1">
        <v>1700</v>
      </c>
      <c r="BX10" s="1">
        <v>1130</v>
      </c>
      <c r="BY10" s="21">
        <f>136275.522694497/3600</f>
        <v>37.854311859582495</v>
      </c>
      <c r="BZ10" s="21">
        <v>86.472279264493196</v>
      </c>
      <c r="CA10" s="45">
        <v>4.6001164907263499E-6</v>
      </c>
      <c r="CB10" s="45">
        <v>3.49032311482937E-3</v>
      </c>
      <c r="CC10" s="45">
        <v>9.1611180287777899E-5</v>
      </c>
      <c r="CD10" s="45">
        <v>2.4467479147006598E-4</v>
      </c>
      <c r="CE10" s="45">
        <v>2.27957141558569E-4</v>
      </c>
      <c r="CF10" s="45">
        <v>2.41214402585434E-4</v>
      </c>
      <c r="CG10" s="23">
        <v>227</v>
      </c>
      <c r="CH10" s="21">
        <v>30.01509475708</v>
      </c>
      <c r="CI10" s="21" t="s">
        <v>112</v>
      </c>
      <c r="CJ10" s="38">
        <v>44291</v>
      </c>
      <c r="CL10" s="88"/>
      <c r="CN10" s="20"/>
    </row>
    <row r="11" spans="1:92" s="1" customFormat="1" outlineLevel="1" x14ac:dyDescent="0.25">
      <c r="B11" s="1" t="s">
        <v>106</v>
      </c>
      <c r="C11" s="1" t="s">
        <v>105</v>
      </c>
      <c r="D11" s="20" t="s">
        <v>107</v>
      </c>
      <c r="E11" s="19">
        <v>38</v>
      </c>
      <c r="F11" s="2">
        <v>58</v>
      </c>
      <c r="G11" s="21">
        <v>3</v>
      </c>
      <c r="H11" s="21">
        <v>1</v>
      </c>
      <c r="I11" s="21">
        <v>6.5</v>
      </c>
      <c r="J11" s="21">
        <v>6</v>
      </c>
      <c r="K11" s="21">
        <f t="shared" si="0"/>
        <v>0.74412195121600655</v>
      </c>
      <c r="L11" s="2">
        <v>20</v>
      </c>
      <c r="M11" s="20">
        <v>11</v>
      </c>
      <c r="N11" s="77">
        <v>120.4761</v>
      </c>
      <c r="O11" s="78">
        <v>6.1415059999999997</v>
      </c>
      <c r="P11" s="78">
        <v>249.3365</v>
      </c>
      <c r="Q11" s="23" t="str">
        <f t="shared" si="1"/>
        <v/>
      </c>
      <c r="R11" s="23" t="str">
        <f t="shared" si="2"/>
        <v/>
      </c>
      <c r="S11" s="25">
        <f t="shared" si="3"/>
        <v>2.0695930562161293</v>
      </c>
      <c r="T11" s="21">
        <v>6.3030949999999999</v>
      </c>
      <c r="U11" s="21">
        <v>-14.551500000000001</v>
      </c>
      <c r="V11" s="21">
        <v>-13.256209999999999</v>
      </c>
      <c r="W11" s="21" t="str">
        <f t="shared" si="4"/>
        <v/>
      </c>
      <c r="X11" s="32" t="str">
        <f t="shared" si="5"/>
        <v/>
      </c>
      <c r="Y11" s="35">
        <f>IF(OR(ISERROR($N11/$M11),$N11=0),"",($N11*2)/(1.225*($M11^2)))</f>
        <v>1.6255840782594027</v>
      </c>
      <c r="Z11" s="25">
        <f t="shared" si="7"/>
        <v>8.2867343565525373E-2</v>
      </c>
      <c r="AA11" s="25">
        <f t="shared" si="8"/>
        <v>3.3642975206611565</v>
      </c>
      <c r="AB11" s="25">
        <f t="shared" si="9"/>
        <v>8.5047664024287387E-2</v>
      </c>
      <c r="AC11" s="25">
        <f t="shared" si="10"/>
        <v>-0.19634339686287736</v>
      </c>
      <c r="AD11" s="34">
        <f t="shared" si="6"/>
        <v>-0.17886604823747676</v>
      </c>
      <c r="AE11" s="2"/>
      <c r="AF11" s="24">
        <v>5.22656998231394</v>
      </c>
      <c r="AG11" s="23">
        <v>39.7006461311191</v>
      </c>
      <c r="AH11" s="23">
        <v>4.1750900813816099</v>
      </c>
      <c r="AI11" s="23">
        <v>31.527869809326099</v>
      </c>
      <c r="AJ11" s="23">
        <v>7.61919367410243</v>
      </c>
      <c r="AK11" s="23">
        <v>55.733331949594799</v>
      </c>
      <c r="AL11" s="23">
        <v>45.022778913453401</v>
      </c>
      <c r="AM11" s="23">
        <v>77.713157989380605</v>
      </c>
      <c r="AN11" s="23">
        <v>7.45312815564772</v>
      </c>
      <c r="AO11" s="23">
        <v>13.0728274775601</v>
      </c>
      <c r="AP11" s="23">
        <v>7.7339999102677002</v>
      </c>
      <c r="AQ11" s="23">
        <v>13.621456995572601</v>
      </c>
      <c r="AR11" s="23">
        <v>2.6592433408032901</v>
      </c>
      <c r="AS11" s="23">
        <v>20.584657202555299</v>
      </c>
      <c r="AT11" s="23">
        <v>15.1277671646092</v>
      </c>
      <c r="AU11" s="23">
        <v>12.226551467415</v>
      </c>
      <c r="AV11" s="23" t="s">
        <v>94</v>
      </c>
      <c r="AW11" s="23" t="s">
        <v>94</v>
      </c>
      <c r="AX11" s="23" t="s">
        <v>94</v>
      </c>
      <c r="AY11" s="23" t="s">
        <v>94</v>
      </c>
      <c r="AZ11" s="23" t="s">
        <v>94</v>
      </c>
      <c r="BA11" s="23" t="s">
        <v>94</v>
      </c>
      <c r="BB11" s="23" t="s">
        <v>94</v>
      </c>
      <c r="BC11" s="23" t="s">
        <v>94</v>
      </c>
      <c r="BD11" s="23" t="s">
        <v>94</v>
      </c>
      <c r="BE11" s="23" t="s">
        <v>94</v>
      </c>
      <c r="BF11" s="23" t="s">
        <v>94</v>
      </c>
      <c r="BG11" s="23" t="s">
        <v>94</v>
      </c>
      <c r="BH11" s="23" t="s">
        <v>94</v>
      </c>
      <c r="BI11" s="23" t="s">
        <v>94</v>
      </c>
      <c r="BJ11" s="23" t="s">
        <v>94</v>
      </c>
      <c r="BK11" s="36" t="s">
        <v>94</v>
      </c>
      <c r="BL11" s="2"/>
      <c r="BM11" s="35">
        <v>0.124259116147801</v>
      </c>
      <c r="BN11" s="21">
        <v>51.2391139745705</v>
      </c>
      <c r="BO11" s="25">
        <v>0.12588471333829601</v>
      </c>
      <c r="BP11" s="21">
        <v>48.585749020594498</v>
      </c>
      <c r="BQ11" s="25">
        <v>0.12431226806048799</v>
      </c>
      <c r="BR11" s="21">
        <v>71.885660808435503</v>
      </c>
      <c r="BS11" s="25">
        <v>0.12588570925893999</v>
      </c>
      <c r="BT11" s="32">
        <v>65.382927214387706</v>
      </c>
      <c r="BV11" s="37">
        <f>13986929/1000000</f>
        <v>13.986929</v>
      </c>
      <c r="BW11" s="1">
        <v>1700</v>
      </c>
      <c r="BX11" s="1">
        <v>1130</v>
      </c>
      <c r="BY11" s="21">
        <f>54648.5199942982/3600</f>
        <v>15.180144442860611</v>
      </c>
      <c r="BZ11" s="21">
        <v>32.745306398001802</v>
      </c>
      <c r="CA11" s="45">
        <v>1.20319698183205E-5</v>
      </c>
      <c r="CB11" s="45">
        <v>6.1825649357746598E-3</v>
      </c>
      <c r="CC11" s="45">
        <v>1.5552049397745901E-4</v>
      </c>
      <c r="CD11" s="45">
        <v>4.4908780571978698E-4</v>
      </c>
      <c r="CE11" s="45">
        <v>3.71353899322517E-4</v>
      </c>
      <c r="CF11" s="45">
        <v>4.11224830134733E-4</v>
      </c>
      <c r="CG11" s="23">
        <v>227</v>
      </c>
      <c r="CH11" s="21">
        <v>25.864864349365199</v>
      </c>
      <c r="CI11" s="21" t="s">
        <v>112</v>
      </c>
      <c r="CJ11" s="38">
        <v>44293</v>
      </c>
      <c r="CL11" s="88"/>
      <c r="CN11" s="20"/>
    </row>
    <row r="12" spans="1:92" s="1" customFormat="1" outlineLevel="1" x14ac:dyDescent="0.25">
      <c r="B12" s="1" t="s">
        <v>108</v>
      </c>
      <c r="C12" s="1" t="s">
        <v>109</v>
      </c>
      <c r="D12" s="20" t="s">
        <v>110</v>
      </c>
      <c r="E12" s="19">
        <v>38</v>
      </c>
      <c r="F12" s="2">
        <v>58</v>
      </c>
      <c r="G12" s="21">
        <v>3</v>
      </c>
      <c r="H12" s="21">
        <v>1</v>
      </c>
      <c r="I12" s="21">
        <v>6.5</v>
      </c>
      <c r="J12" s="21">
        <v>6</v>
      </c>
      <c r="K12" s="21">
        <f t="shared" si="0"/>
        <v>0.74412195121600655</v>
      </c>
      <c r="L12" s="2">
        <v>20</v>
      </c>
      <c r="M12" s="20">
        <v>11</v>
      </c>
      <c r="N12" s="77">
        <v>117.65600000000001</v>
      </c>
      <c r="O12" s="78">
        <v>5.7635699999999996</v>
      </c>
      <c r="P12" s="78">
        <v>243.3981</v>
      </c>
      <c r="Q12" s="23">
        <f t="shared" si="1"/>
        <v>81.871887443005861</v>
      </c>
      <c r="R12" s="23">
        <f t="shared" si="2"/>
        <v>161.52621255699412</v>
      </c>
      <c r="S12" s="25">
        <f t="shared" si="3"/>
        <v>2.0687266267763649</v>
      </c>
      <c r="T12" s="21">
        <v>6.8426859999999996</v>
      </c>
      <c r="U12" s="21">
        <v>-13.569599999999999</v>
      </c>
      <c r="V12" s="21">
        <v>-13.06512</v>
      </c>
      <c r="W12" s="21">
        <f t="shared" si="4"/>
        <v>5.4806164151165655</v>
      </c>
      <c r="X12" s="32">
        <f t="shared" si="5"/>
        <v>33.637028162095703</v>
      </c>
      <c r="Y12" s="35">
        <f t="shared" ref="Y12:Y74" si="11">IF(OR(ISERROR($N12/$M12),$N12=0),"",($N12*2)/(1.225*($M12^2)))</f>
        <v>1.5875324675324674</v>
      </c>
      <c r="Z12" s="25">
        <f t="shared" si="7"/>
        <v>7.776785292629447E-2</v>
      </c>
      <c r="AA12" s="25">
        <f t="shared" si="8"/>
        <v>3.2841706864564002</v>
      </c>
      <c r="AB12" s="25">
        <f t="shared" si="9"/>
        <v>9.2328365660313688E-2</v>
      </c>
      <c r="AC12" s="25">
        <f t="shared" si="10"/>
        <v>-0.1830946196660482</v>
      </c>
      <c r="AD12" s="34">
        <f t="shared" si="6"/>
        <v>-0.17628767077078764</v>
      </c>
      <c r="AE12" s="2"/>
      <c r="AF12" s="24">
        <v>4.9900780778174099</v>
      </c>
      <c r="AG12" s="23">
        <v>36.632755226044402</v>
      </c>
      <c r="AH12" s="23">
        <v>4.3782829988208496</v>
      </c>
      <c r="AI12" s="23">
        <v>33.162804084347698</v>
      </c>
      <c r="AJ12" s="23">
        <v>7.5253721828746301</v>
      </c>
      <c r="AK12" s="23">
        <v>55.084269798193397</v>
      </c>
      <c r="AL12" s="23">
        <v>43.868702370994399</v>
      </c>
      <c r="AM12" s="23">
        <v>74.236120358731895</v>
      </c>
      <c r="AN12" s="23">
        <v>6.9155861437308399</v>
      </c>
      <c r="AO12" s="23">
        <v>12.339312797187199</v>
      </c>
      <c r="AP12" s="23">
        <v>7.7667644820386501</v>
      </c>
      <c r="AQ12" s="23">
        <v>13.5808013002561</v>
      </c>
      <c r="AR12" s="23">
        <v>2.4606861755064</v>
      </c>
      <c r="AS12" s="23">
        <v>19.634228120167201</v>
      </c>
      <c r="AT12" s="23">
        <v>14.450268590474399</v>
      </c>
      <c r="AU12" s="23">
        <v>12.908553684762699</v>
      </c>
      <c r="AV12" s="23" t="s">
        <v>94</v>
      </c>
      <c r="AW12" s="23" t="s">
        <v>94</v>
      </c>
      <c r="AX12" s="23" t="s">
        <v>94</v>
      </c>
      <c r="AY12" s="23" t="s">
        <v>94</v>
      </c>
      <c r="AZ12" s="23" t="s">
        <v>94</v>
      </c>
      <c r="BA12" s="23" t="s">
        <v>94</v>
      </c>
      <c r="BB12" s="23" t="s">
        <v>94</v>
      </c>
      <c r="BC12" s="23" t="s">
        <v>94</v>
      </c>
      <c r="BD12" s="23" t="s">
        <v>94</v>
      </c>
      <c r="BE12" s="23" t="s">
        <v>94</v>
      </c>
      <c r="BF12" s="23" t="s">
        <v>94</v>
      </c>
      <c r="BG12" s="23" t="s">
        <v>94</v>
      </c>
      <c r="BH12" s="23" t="s">
        <v>94</v>
      </c>
      <c r="BI12" s="23" t="s">
        <v>94</v>
      </c>
      <c r="BJ12" s="23" t="s">
        <v>94</v>
      </c>
      <c r="BK12" s="36" t="s">
        <v>94</v>
      </c>
      <c r="BL12" s="2"/>
      <c r="BM12" s="35">
        <v>0.123701533916764</v>
      </c>
      <c r="BN12" s="21">
        <v>47.131949627487501</v>
      </c>
      <c r="BO12" s="25">
        <v>0.124831985519661</v>
      </c>
      <c r="BP12" s="21">
        <v>45.294288377024898</v>
      </c>
      <c r="BQ12" s="25">
        <v>0.123684213311271</v>
      </c>
      <c r="BR12" s="21">
        <v>73.514544925194201</v>
      </c>
      <c r="BS12" s="25">
        <v>0.124798660861619</v>
      </c>
      <c r="BT12" s="32">
        <v>69.4341940443026</v>
      </c>
      <c r="BV12" s="37">
        <f>6705545/1000000</f>
        <v>6.7055449999999999</v>
      </c>
      <c r="BW12" s="1">
        <v>1700</v>
      </c>
      <c r="BX12" s="1">
        <v>1130</v>
      </c>
      <c r="BY12" s="21">
        <f>24775.8803040989/3600</f>
        <v>6.8821889733608055</v>
      </c>
      <c r="BZ12" s="21">
        <v>15.6096765844948</v>
      </c>
      <c r="CA12" s="45">
        <v>1.9977907334164801E-5</v>
      </c>
      <c r="CB12" s="45">
        <v>9.9228100639732492E-3</v>
      </c>
      <c r="CC12" s="45">
        <v>1.8351695361729599E-4</v>
      </c>
      <c r="CD12" s="45">
        <v>5.69368620780734E-4</v>
      </c>
      <c r="CE12" s="45">
        <v>4.3063186729798002E-4</v>
      </c>
      <c r="CF12" s="45">
        <v>4.3470139947501802E-4</v>
      </c>
      <c r="CG12" s="23">
        <v>227</v>
      </c>
      <c r="CH12" s="21">
        <v>6.3038520812988201</v>
      </c>
      <c r="CI12" s="21" t="s">
        <v>112</v>
      </c>
      <c r="CJ12" s="38">
        <v>44292</v>
      </c>
      <c r="CL12" s="77">
        <v>8.0038297336091002</v>
      </c>
      <c r="CM12" s="78">
        <v>-248.750367337771</v>
      </c>
      <c r="CN12" s="79">
        <v>-11.1056302239439</v>
      </c>
    </row>
    <row r="13" spans="1:92" s="1" customFormat="1" outlineLevel="1" x14ac:dyDescent="0.25">
      <c r="B13" s="1" t="s">
        <v>118</v>
      </c>
      <c r="C13" s="1" t="s">
        <v>119</v>
      </c>
      <c r="D13" s="20" t="s">
        <v>120</v>
      </c>
      <c r="E13" s="19">
        <v>38</v>
      </c>
      <c r="F13" s="2">
        <v>58</v>
      </c>
      <c r="G13" s="21">
        <v>3</v>
      </c>
      <c r="H13" s="21">
        <v>1</v>
      </c>
      <c r="I13" s="21">
        <v>6.5</v>
      </c>
      <c r="J13" s="21">
        <v>6</v>
      </c>
      <c r="K13" s="21">
        <f t="shared" si="0"/>
        <v>0.74412195121600655</v>
      </c>
      <c r="L13" s="2">
        <v>20</v>
      </c>
      <c r="M13" s="20">
        <v>11</v>
      </c>
      <c r="N13" s="77">
        <v>116.063282592085</v>
      </c>
      <c r="O13" s="78">
        <v>6.6058700721494699</v>
      </c>
      <c r="P13" s="78">
        <v>251.72889323543399</v>
      </c>
      <c r="Q13" s="23" t="str">
        <f t="shared" si="1"/>
        <v/>
      </c>
      <c r="R13" s="23" t="str">
        <f t="shared" si="2"/>
        <v/>
      </c>
      <c r="S13" s="25">
        <f t="shared" si="3"/>
        <v>2.1688934485866485</v>
      </c>
      <c r="T13" s="21">
        <v>4.4225769716170404</v>
      </c>
      <c r="U13" s="21">
        <v>-7.1544876122489303</v>
      </c>
      <c r="V13" s="21">
        <v>-11.0699200489227</v>
      </c>
      <c r="W13" s="21" t="str">
        <f t="shared" si="4"/>
        <v/>
      </c>
      <c r="X13" s="32" t="str">
        <f t="shared" si="5"/>
        <v/>
      </c>
      <c r="Y13" s="35">
        <f t="shared" si="11"/>
        <v>1.5660419307415752</v>
      </c>
      <c r="Z13" s="25">
        <f t="shared" si="7"/>
        <v>8.9133008226000593E-2</v>
      </c>
      <c r="AA13" s="25">
        <f t="shared" si="8"/>
        <v>3.3965780837973885</v>
      </c>
      <c r="AB13" s="25">
        <f t="shared" si="9"/>
        <v>5.9673833315797467E-2</v>
      </c>
      <c r="AC13" s="25">
        <f t="shared" si="10"/>
        <v>-9.6535504972156239E-2</v>
      </c>
      <c r="AD13" s="34">
        <f t="shared" si="6"/>
        <v>-0.14936643682135536</v>
      </c>
      <c r="AE13" s="2"/>
      <c r="AF13" s="24">
        <v>4.8134912863519599</v>
      </c>
      <c r="AG13" s="23">
        <v>40.752930998583999</v>
      </c>
      <c r="AH13" s="23">
        <v>4.7261724943927197</v>
      </c>
      <c r="AI13" s="23">
        <v>35.116882997700102</v>
      </c>
      <c r="AJ13" s="23">
        <v>7.7508755536306602</v>
      </c>
      <c r="AK13" s="23">
        <v>54.217528989203799</v>
      </c>
      <c r="AL13" s="23">
        <v>41.984664668418198</v>
      </c>
      <c r="AM13" s="23">
        <v>70.912918208208396</v>
      </c>
      <c r="AN13" s="23">
        <v>6.7747879849407804</v>
      </c>
      <c r="AO13" s="23">
        <v>11.088151919184099</v>
      </c>
      <c r="AP13" s="23">
        <v>7.3379988252769497</v>
      </c>
      <c r="AQ13" s="23">
        <v>13.088300845153199</v>
      </c>
      <c r="AR13" s="23">
        <v>2.46792726328089</v>
      </c>
      <c r="AS13" s="23">
        <v>20.1355987905741</v>
      </c>
      <c r="AT13" s="23">
        <v>14.209966079584101</v>
      </c>
      <c r="AU13" s="23">
        <v>15.6237092674536</v>
      </c>
      <c r="AV13" s="23" t="s">
        <v>94</v>
      </c>
      <c r="AW13" s="23" t="s">
        <v>94</v>
      </c>
      <c r="AX13" s="23" t="s">
        <v>94</v>
      </c>
      <c r="AY13" s="23" t="s">
        <v>94</v>
      </c>
      <c r="AZ13" s="23" t="s">
        <v>94</v>
      </c>
      <c r="BA13" s="23" t="s">
        <v>94</v>
      </c>
      <c r="BB13" s="23" t="s">
        <v>94</v>
      </c>
      <c r="BC13" s="23" t="s">
        <v>94</v>
      </c>
      <c r="BD13" s="23" t="s">
        <v>94</v>
      </c>
      <c r="BE13" s="23" t="s">
        <v>94</v>
      </c>
      <c r="BF13" s="23" t="s">
        <v>94</v>
      </c>
      <c r="BG13" s="23" t="s">
        <v>94</v>
      </c>
      <c r="BH13" s="23" t="s">
        <v>94</v>
      </c>
      <c r="BI13" s="23" t="s">
        <v>94</v>
      </c>
      <c r="BJ13" s="23" t="s">
        <v>94</v>
      </c>
      <c r="BK13" s="36" t="s">
        <v>94</v>
      </c>
      <c r="BL13" s="2"/>
      <c r="BM13" s="35">
        <v>0.123160503610362</v>
      </c>
      <c r="BN13" s="21">
        <v>49.1990938965602</v>
      </c>
      <c r="BO13" s="25">
        <v>0.12508790541953399</v>
      </c>
      <c r="BP13" s="21">
        <v>45.343316605391301</v>
      </c>
      <c r="BQ13" s="25">
        <v>0.123068226755374</v>
      </c>
      <c r="BR13" s="21">
        <v>75.3505374729708</v>
      </c>
      <c r="BS13" s="25">
        <v>0.124995801333025</v>
      </c>
      <c r="BT13" s="32">
        <v>68.007784431702802</v>
      </c>
      <c r="BV13" s="37">
        <f>12546246/1000000</f>
        <v>12.546246</v>
      </c>
      <c r="BW13" s="1">
        <v>1700</v>
      </c>
      <c r="BX13" s="1" t="s">
        <v>94</v>
      </c>
      <c r="BY13" s="21">
        <f>55577.7921961983/3600</f>
        <v>15.438275610055083</v>
      </c>
      <c r="BZ13" s="21">
        <v>39.159500299952903</v>
      </c>
      <c r="CA13" s="45">
        <v>2.28232392786898E-5</v>
      </c>
      <c r="CB13" s="45">
        <v>9.4018672268288608E-3</v>
      </c>
      <c r="CC13" s="45">
        <v>6.6755302626075899E-5</v>
      </c>
      <c r="CD13" s="45">
        <v>2.5721021250617798E-4</v>
      </c>
      <c r="CE13" s="45">
        <v>1.8347039007131201E-4</v>
      </c>
      <c r="CF13" s="45">
        <v>1.9622125367231E-4</v>
      </c>
      <c r="CG13" s="23">
        <v>229</v>
      </c>
      <c r="CH13" s="21">
        <v>55.187225341796797</v>
      </c>
      <c r="CI13" s="21"/>
      <c r="CJ13" s="38">
        <v>44309</v>
      </c>
      <c r="CL13" s="88"/>
      <c r="CN13" s="20"/>
    </row>
    <row r="14" spans="1:92" s="1" customFormat="1" outlineLevel="1" x14ac:dyDescent="0.25">
      <c r="B14" s="1" t="s">
        <v>121</v>
      </c>
      <c r="C14" s="1" t="s">
        <v>122</v>
      </c>
      <c r="D14" s="20" t="s">
        <v>123</v>
      </c>
      <c r="E14" s="19">
        <v>38</v>
      </c>
      <c r="F14" s="2">
        <v>58</v>
      </c>
      <c r="G14" s="21">
        <v>3</v>
      </c>
      <c r="H14" s="21">
        <v>1</v>
      </c>
      <c r="I14" s="21">
        <v>6.5</v>
      </c>
      <c r="J14" s="21">
        <v>6</v>
      </c>
      <c r="K14" s="21">
        <f t="shared" si="0"/>
        <v>0.74412195121600655</v>
      </c>
      <c r="L14" s="2">
        <v>20</v>
      </c>
      <c r="M14" s="20">
        <v>11</v>
      </c>
      <c r="N14" s="77">
        <v>116.13262385114599</v>
      </c>
      <c r="O14" s="78">
        <v>6.7052543466646197</v>
      </c>
      <c r="P14" s="78">
        <v>252.46696902135901</v>
      </c>
      <c r="Q14" s="23">
        <f t="shared" si="1"/>
        <v>92.651340546324576</v>
      </c>
      <c r="R14" s="23">
        <f t="shared" si="2"/>
        <v>159.81562847503443</v>
      </c>
      <c r="S14" s="25">
        <f t="shared" si="3"/>
        <v>2.173953886936721</v>
      </c>
      <c r="T14" s="21">
        <v>4.4519112322693504</v>
      </c>
      <c r="U14" s="21">
        <v>-6.9675558845181502</v>
      </c>
      <c r="V14" s="21">
        <v>-11.106108238708901</v>
      </c>
      <c r="W14" s="21">
        <f t="shared" si="4"/>
        <v>4.236560861589064</v>
      </c>
      <c r="X14" s="32">
        <f t="shared" si="5"/>
        <v>36.698400945466318</v>
      </c>
      <c r="Y14" s="35">
        <f t="shared" si="11"/>
        <v>1.5669775523851708</v>
      </c>
      <c r="Z14" s="25">
        <f t="shared" si="7"/>
        <v>9.0474000292320708E-2</v>
      </c>
      <c r="AA14" s="25">
        <f t="shared" si="8"/>
        <v>3.4065369407503319</v>
      </c>
      <c r="AB14" s="25">
        <f t="shared" si="9"/>
        <v>6.0069640509621852E-2</v>
      </c>
      <c r="AC14" s="25">
        <f t="shared" si="10"/>
        <v>-9.4013235075299698E-2</v>
      </c>
      <c r="AD14" s="34">
        <f t="shared" si="6"/>
        <v>-0.14985472408445133</v>
      </c>
      <c r="AE14" s="2"/>
      <c r="AF14" s="24">
        <v>4.8103364685893597</v>
      </c>
      <c r="AG14" s="23">
        <v>41.029823583018498</v>
      </c>
      <c r="AH14" s="23">
        <v>4.5243150858093601</v>
      </c>
      <c r="AI14" s="23">
        <v>36.531029710198403</v>
      </c>
      <c r="AJ14" s="23">
        <v>8.0402906291427207</v>
      </c>
      <c r="AK14" s="23">
        <v>55.9116206991974</v>
      </c>
      <c r="AL14" s="23">
        <v>41.0812374376262</v>
      </c>
      <c r="AM14" s="23">
        <v>69.872176603095994</v>
      </c>
      <c r="AN14" s="23">
        <v>6.7856053887092198</v>
      </c>
      <c r="AO14" s="23">
        <v>11.588807932136699</v>
      </c>
      <c r="AP14" s="23">
        <v>7.5670968687002604</v>
      </c>
      <c r="AQ14" s="23">
        <v>13.607135991861799</v>
      </c>
      <c r="AR14" s="23">
        <v>2.7286143229473501</v>
      </c>
      <c r="AS14" s="23">
        <v>23.778309148341801</v>
      </c>
      <c r="AT14" s="23">
        <v>14.096615348686299</v>
      </c>
      <c r="AU14" s="23">
        <v>15.846236847962</v>
      </c>
      <c r="AV14" s="23" t="s">
        <v>94</v>
      </c>
      <c r="AW14" s="23" t="s">
        <v>94</v>
      </c>
      <c r="AX14" s="23" t="s">
        <v>94</v>
      </c>
      <c r="AY14" s="23" t="s">
        <v>94</v>
      </c>
      <c r="AZ14" s="23" t="s">
        <v>94</v>
      </c>
      <c r="BA14" s="23" t="s">
        <v>94</v>
      </c>
      <c r="BB14" s="23" t="s">
        <v>94</v>
      </c>
      <c r="BC14" s="23" t="s">
        <v>94</v>
      </c>
      <c r="BD14" s="23" t="s">
        <v>94</v>
      </c>
      <c r="BE14" s="23" t="s">
        <v>94</v>
      </c>
      <c r="BF14" s="23" t="s">
        <v>94</v>
      </c>
      <c r="BG14" s="23" t="s">
        <v>94</v>
      </c>
      <c r="BH14" s="23" t="s">
        <v>94</v>
      </c>
      <c r="BI14" s="23" t="s">
        <v>94</v>
      </c>
      <c r="BJ14" s="23" t="s">
        <v>94</v>
      </c>
      <c r="BK14" s="36" t="s">
        <v>94</v>
      </c>
      <c r="BL14" s="2"/>
      <c r="BM14" s="35">
        <v>0.123015048114928</v>
      </c>
      <c r="BN14" s="21">
        <v>48.832884948913197</v>
      </c>
      <c r="BO14" s="25">
        <v>0.124623966766911</v>
      </c>
      <c r="BP14" s="21">
        <v>46.0322852126681</v>
      </c>
      <c r="BQ14" s="25">
        <v>0.12306576825542399</v>
      </c>
      <c r="BR14" s="21">
        <v>76.041405003791596</v>
      </c>
      <c r="BS14" s="25">
        <v>0.12464301779488</v>
      </c>
      <c r="BT14" s="32">
        <v>69.965018754392801</v>
      </c>
      <c r="BV14" s="37">
        <f>12093456/1000000</f>
        <v>12.093456</v>
      </c>
      <c r="BW14" s="1">
        <v>1800</v>
      </c>
      <c r="BX14" s="1" t="s">
        <v>94</v>
      </c>
      <c r="BY14" s="21">
        <f>55444.4738400016/3600</f>
        <v>15.401242733333778</v>
      </c>
      <c r="BZ14" s="21">
        <v>37.330899199936503</v>
      </c>
      <c r="CA14" s="45">
        <v>2.1275793953464898E-5</v>
      </c>
      <c r="CB14" s="45">
        <v>7.1398008569002903E-3</v>
      </c>
      <c r="CC14" s="45">
        <v>6.1600424102165502E-5</v>
      </c>
      <c r="CD14" s="45">
        <v>2.4684795139975701E-4</v>
      </c>
      <c r="CE14" s="45">
        <v>1.8094638654189701E-4</v>
      </c>
      <c r="CF14" s="45">
        <v>1.85447617534433E-4</v>
      </c>
      <c r="CG14" s="23">
        <v>229</v>
      </c>
      <c r="CH14" s="21">
        <v>12.6623077392578</v>
      </c>
      <c r="CI14" s="21"/>
      <c r="CJ14" s="38">
        <v>44310</v>
      </c>
      <c r="CL14" s="88">
        <v>6.4175500787994499</v>
      </c>
      <c r="CM14" s="1">
        <v>-246.116067851553</v>
      </c>
      <c r="CN14" s="20">
        <v>-5.7189001292470598</v>
      </c>
    </row>
    <row r="15" spans="1:92" s="1" customFormat="1" outlineLevel="1" x14ac:dyDescent="0.25">
      <c r="B15" s="1" t="s">
        <v>126</v>
      </c>
      <c r="C15" s="1" t="s">
        <v>124</v>
      </c>
      <c r="D15" s="20" t="s">
        <v>125</v>
      </c>
      <c r="E15" s="19">
        <v>25</v>
      </c>
      <c r="F15" s="2">
        <v>35</v>
      </c>
      <c r="G15" s="21">
        <v>3</v>
      </c>
      <c r="H15" s="21">
        <v>1</v>
      </c>
      <c r="I15" s="21">
        <v>13</v>
      </c>
      <c r="J15" s="21">
        <v>11</v>
      </c>
      <c r="K15" s="21">
        <f t="shared" si="0"/>
        <v>0.37205313099218562</v>
      </c>
      <c r="L15" s="2">
        <v>9.125</v>
      </c>
      <c r="M15" s="20">
        <v>11</v>
      </c>
      <c r="N15" s="77">
        <v>112.75530000000001</v>
      </c>
      <c r="O15" s="78">
        <v>-1.883426</v>
      </c>
      <c r="P15" s="78">
        <v>219.6165</v>
      </c>
      <c r="Q15" s="23" t="str">
        <f t="shared" si="1"/>
        <v/>
      </c>
      <c r="R15" s="23" t="str">
        <f t="shared" si="2"/>
        <v/>
      </c>
      <c r="S15" s="25">
        <f t="shared" si="3"/>
        <v>1.9477266257107204</v>
      </c>
      <c r="T15" s="21">
        <v>2.0926420000000001</v>
      </c>
      <c r="U15" s="21">
        <v>-19.716180000000001</v>
      </c>
      <c r="V15" s="21">
        <v>-24.702179999999998</v>
      </c>
      <c r="W15" s="21" t="str">
        <f t="shared" si="4"/>
        <v/>
      </c>
      <c r="X15" s="32" t="str">
        <f t="shared" si="5"/>
        <v/>
      </c>
      <c r="Y15" s="35">
        <f t="shared" si="11"/>
        <v>1.5214073199527742</v>
      </c>
      <c r="Z15" s="25">
        <f t="shared" si="7"/>
        <v>-2.5413067970990046E-2</v>
      </c>
      <c r="AA15" s="25">
        <f t="shared" si="8"/>
        <v>2.9632855456232075</v>
      </c>
      <c r="AB15" s="25">
        <f t="shared" si="9"/>
        <v>2.823601956485073E-2</v>
      </c>
      <c r="AC15" s="25">
        <f t="shared" si="10"/>
        <v>-0.26603042671614097</v>
      </c>
      <c r="AD15" s="34">
        <f t="shared" si="6"/>
        <v>-0.33330652723899468</v>
      </c>
      <c r="AE15" s="2"/>
      <c r="AF15" s="24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36"/>
      <c r="BL15" s="2"/>
      <c r="BM15" s="35"/>
      <c r="BN15" s="21"/>
      <c r="BO15" s="25"/>
      <c r="BP15" s="21"/>
      <c r="BQ15" s="25"/>
      <c r="BR15" s="21"/>
      <c r="BS15" s="25"/>
      <c r="BT15" s="32"/>
      <c r="BV15" s="37">
        <f>14358958/1000000</f>
        <v>14.358957999999999</v>
      </c>
      <c r="BW15" s="1">
        <v>3400</v>
      </c>
      <c r="BX15" s="1" t="s">
        <v>94</v>
      </c>
      <c r="BY15" s="21">
        <f>123216.801614398/3600</f>
        <v>34.226889337332778</v>
      </c>
      <c r="BZ15" s="21">
        <v>41.149424290499297</v>
      </c>
      <c r="CA15" s="45">
        <v>8.0114102643341308E-6</v>
      </c>
      <c r="CB15" s="45">
        <v>5.4555213087141702E-3</v>
      </c>
      <c r="CC15" s="45">
        <v>1.2714136494050099E-4</v>
      </c>
      <c r="CD15" s="45">
        <v>2.7933562182265703E-4</v>
      </c>
      <c r="CE15" s="45">
        <v>3.1751270540570899E-4</v>
      </c>
      <c r="CF15" s="45">
        <v>2.6612744846240399E-4</v>
      </c>
      <c r="CG15" s="23">
        <v>231</v>
      </c>
      <c r="CH15" s="21"/>
      <c r="CI15" s="21"/>
      <c r="CJ15" s="38">
        <v>44315</v>
      </c>
      <c r="CL15" s="88"/>
      <c r="CN15" s="20"/>
    </row>
    <row r="16" spans="1:92" s="1" customFormat="1" outlineLevel="1" x14ac:dyDescent="0.25">
      <c r="B16" s="1" t="s">
        <v>129</v>
      </c>
      <c r="C16" s="1" t="s">
        <v>127</v>
      </c>
      <c r="D16" s="20" t="s">
        <v>128</v>
      </c>
      <c r="E16" s="19">
        <v>38</v>
      </c>
      <c r="F16" s="2">
        <v>58</v>
      </c>
      <c r="G16" s="21">
        <v>3</v>
      </c>
      <c r="H16" s="21">
        <v>1</v>
      </c>
      <c r="I16" s="21">
        <v>13</v>
      </c>
      <c r="J16" s="21">
        <v>11</v>
      </c>
      <c r="K16" s="21">
        <f t="shared" si="0"/>
        <v>0.74412195121600655</v>
      </c>
      <c r="L16" s="2">
        <v>9.125</v>
      </c>
      <c r="M16" s="20">
        <v>11</v>
      </c>
      <c r="N16" s="77">
        <v>115.711051036654</v>
      </c>
      <c r="O16" s="78">
        <v>-4.8971695310119401</v>
      </c>
      <c r="P16" s="78">
        <v>246.783198141432</v>
      </c>
      <c r="Q16" s="23" t="str">
        <f t="shared" si="1"/>
        <v/>
      </c>
      <c r="R16" s="23" t="str">
        <f t="shared" si="2"/>
        <v/>
      </c>
      <c r="S16" s="25">
        <f t="shared" si="3"/>
        <v>2.1327539239381554</v>
      </c>
      <c r="T16" s="21">
        <v>2.1124695747256999</v>
      </c>
      <c r="U16" s="21">
        <v>-7.3344058077982099</v>
      </c>
      <c r="V16" s="21">
        <v>-26.206881716535701</v>
      </c>
      <c r="W16" s="21" t="str">
        <f t="shared" si="4"/>
        <v/>
      </c>
      <c r="X16" s="32" t="str">
        <f t="shared" si="5"/>
        <v/>
      </c>
      <c r="Y16" s="35">
        <f t="shared" si="11"/>
        <v>1.5612892701859198</v>
      </c>
      <c r="Z16" s="25">
        <f t="shared" si="7"/>
        <v>-6.607751095985076E-2</v>
      </c>
      <c r="AA16" s="25">
        <f t="shared" si="8"/>
        <v>3.3298458173915595</v>
      </c>
      <c r="AB16" s="25">
        <f t="shared" si="9"/>
        <v>2.8503553040657104E-2</v>
      </c>
      <c r="AC16" s="25">
        <f t="shared" si="10"/>
        <v>-9.8963141275739033E-2</v>
      </c>
      <c r="AD16" s="34">
        <f t="shared" si="6"/>
        <v>-0.35360946826157125</v>
      </c>
      <c r="AE16" s="2"/>
      <c r="AF16" s="24">
        <v>4.9520858098608196</v>
      </c>
      <c r="AG16" s="23">
        <v>39.841732103651502</v>
      </c>
      <c r="AH16" s="23">
        <v>4.1882397308539803</v>
      </c>
      <c r="AI16" s="23">
        <v>32.468049891326302</v>
      </c>
      <c r="AJ16" s="23">
        <v>7.7061766664978402</v>
      </c>
      <c r="AK16" s="23">
        <v>57.600341935514599</v>
      </c>
      <c r="AL16" s="23">
        <v>42.363399434996602</v>
      </c>
      <c r="AM16" s="23">
        <v>72.799266415267496</v>
      </c>
      <c r="AN16" s="23">
        <v>7.1523390023754203</v>
      </c>
      <c r="AO16" s="23">
        <v>12.900533223581199</v>
      </c>
      <c r="AP16" s="23">
        <v>8.0523368722527309</v>
      </c>
      <c r="AQ16" s="23">
        <v>14.282652782058699</v>
      </c>
      <c r="AR16" s="23">
        <v>2.70331154287457</v>
      </c>
      <c r="AS16" s="23">
        <v>21.250736085602799</v>
      </c>
      <c r="AT16" s="23">
        <v>13.899593616264101</v>
      </c>
      <c r="AU16" s="23">
        <v>12.6576466822649</v>
      </c>
      <c r="AV16" s="23" t="s">
        <v>94</v>
      </c>
      <c r="AW16" s="23" t="s">
        <v>94</v>
      </c>
      <c r="AX16" s="23" t="s">
        <v>94</v>
      </c>
      <c r="AY16" s="23" t="s">
        <v>94</v>
      </c>
      <c r="AZ16" s="23" t="s">
        <v>94</v>
      </c>
      <c r="BA16" s="23" t="s">
        <v>94</v>
      </c>
      <c r="BB16" s="23" t="s">
        <v>94</v>
      </c>
      <c r="BC16" s="23" t="s">
        <v>94</v>
      </c>
      <c r="BD16" s="23" t="s">
        <v>94</v>
      </c>
      <c r="BE16" s="23" t="s">
        <v>94</v>
      </c>
      <c r="BF16" s="23" t="s">
        <v>94</v>
      </c>
      <c r="BG16" s="23" t="s">
        <v>94</v>
      </c>
      <c r="BH16" s="23" t="s">
        <v>94</v>
      </c>
      <c r="BI16" s="23" t="s">
        <v>94</v>
      </c>
      <c r="BJ16" s="23" t="s">
        <v>94</v>
      </c>
      <c r="BK16" s="36" t="s">
        <v>94</v>
      </c>
      <c r="BL16" s="2"/>
      <c r="BM16" s="35">
        <v>0.124301471442071</v>
      </c>
      <c r="BN16" s="21">
        <v>56.3992012832489</v>
      </c>
      <c r="BO16" s="25">
        <v>0.12513901072922701</v>
      </c>
      <c r="BP16" s="21">
        <v>64.477516597361401</v>
      </c>
      <c r="BQ16" s="25">
        <v>0.123604104986082</v>
      </c>
      <c r="BR16" s="21">
        <v>75.524905599449795</v>
      </c>
      <c r="BS16" s="25">
        <v>0.12465084490015001</v>
      </c>
      <c r="BT16" s="32">
        <v>70.936754001552302</v>
      </c>
      <c r="BV16" s="37">
        <f>14201472/1000000</f>
        <v>14.201472000000001</v>
      </c>
      <c r="BW16" s="1">
        <v>1700</v>
      </c>
      <c r="BX16" s="1">
        <v>1130</v>
      </c>
      <c r="BY16" s="21">
        <f>60000.0682466004/3600</f>
        <v>16.666685624055667</v>
      </c>
      <c r="BZ16" s="21">
        <v>37.327548147501602</v>
      </c>
      <c r="CA16" s="45">
        <v>9.4502542765564207E-6</v>
      </c>
      <c r="CB16" s="45">
        <v>7.7096442147823498E-3</v>
      </c>
      <c r="CC16" s="45">
        <v>1.20466146479939E-4</v>
      </c>
      <c r="CD16" s="45">
        <v>3.3163317643958399E-4</v>
      </c>
      <c r="CE16" s="45">
        <v>3.7012052225835802E-4</v>
      </c>
      <c r="CF16" s="45">
        <v>3.2472194434393398E-4</v>
      </c>
      <c r="CG16" s="23">
        <v>227</v>
      </c>
      <c r="CH16" s="21"/>
      <c r="CI16" s="21"/>
      <c r="CJ16" s="38">
        <v>44330</v>
      </c>
      <c r="CL16" s="88"/>
      <c r="CN16" s="20"/>
    </row>
    <row r="17" spans="2:92" s="1" customFormat="1" x14ac:dyDescent="0.25">
      <c r="B17" s="1" t="s">
        <v>142</v>
      </c>
      <c r="C17" s="1" t="s">
        <v>130</v>
      </c>
      <c r="D17" s="20" t="s">
        <v>136</v>
      </c>
      <c r="E17" s="19">
        <v>40</v>
      </c>
      <c r="F17" s="2">
        <v>40</v>
      </c>
      <c r="G17" s="21">
        <v>0</v>
      </c>
      <c r="H17" s="21">
        <v>0</v>
      </c>
      <c r="I17" s="21">
        <v>0</v>
      </c>
      <c r="J17" s="21">
        <v>0</v>
      </c>
      <c r="K17" s="21">
        <f t="shared" si="0"/>
        <v>0</v>
      </c>
      <c r="L17" s="2">
        <v>0</v>
      </c>
      <c r="M17" s="20">
        <v>11</v>
      </c>
      <c r="N17" s="37">
        <f>55.9450956274807*2</f>
        <v>111.89019125496139</v>
      </c>
      <c r="O17" s="21">
        <v>0</v>
      </c>
      <c r="P17" s="21">
        <f>118.685898461999*2</f>
        <v>237.37179692399801</v>
      </c>
      <c r="Q17" s="23">
        <f t="shared" si="1"/>
        <v>73.365870196065515</v>
      </c>
      <c r="R17" s="23">
        <f t="shared" si="2"/>
        <v>164.00592672793249</v>
      </c>
      <c r="S17" s="25">
        <f t="shared" si="3"/>
        <v>2.1214710088671205</v>
      </c>
      <c r="T17" s="21">
        <v>0</v>
      </c>
      <c r="U17" s="21">
        <f>-13.2488195108512*2</f>
        <v>-26.497639021702401</v>
      </c>
      <c r="V17" s="21">
        <v>0</v>
      </c>
      <c r="W17" s="21">
        <f>IF(OR(ISERROR((($CL17)/(1.2*$P17)+0.5)*100),$CL17=""),"",(($CL17)/(1.2*$P17)+0.5)*100)</f>
        <v>50</v>
      </c>
      <c r="X17" s="32">
        <f>IF(OR(ISERROR(100-(-$CM17*100)/(1.54*$P17)),$CM17=0),"",100-(-$CM17*100)/(1.54*$P17))</f>
        <v>30.907576698994234</v>
      </c>
      <c r="Y17" s="35">
        <f t="shared" si="11"/>
        <v>1.5097344072182342</v>
      </c>
      <c r="Z17" s="25">
        <f>IF(OR(ISERROR($O17/$M17)),"",($O17*2)/(1.225*($M17^2)))</f>
        <v>0</v>
      </c>
      <c r="AA17" s="25">
        <f t="shared" si="8"/>
        <v>3.2028577760026713</v>
      </c>
      <c r="AB17" s="25">
        <f>IF(OR(ISERROR($T17/$M17)),"",($T17*2)/(1.225*($M17^2)))</f>
        <v>0</v>
      </c>
      <c r="AC17" s="25">
        <f t="shared" si="10"/>
        <v>-0.35753265672730505</v>
      </c>
      <c r="AD17" s="34">
        <f>IF(OR(ISERROR($V17/$M17)),"",($V17*2)/(1.225*($M17^2)))</f>
        <v>0</v>
      </c>
      <c r="AE17" s="2"/>
      <c r="AF17" s="24" t="s">
        <v>94</v>
      </c>
      <c r="AG17" s="23" t="s">
        <v>94</v>
      </c>
      <c r="AH17" s="23">
        <v>4.6096895525137898</v>
      </c>
      <c r="AI17" s="23">
        <v>28.810541957488699</v>
      </c>
      <c r="AJ17" s="23">
        <f>3.73606863454425*2</f>
        <v>7.4721372690885</v>
      </c>
      <c r="AK17" s="23">
        <f>26.8908428164105*2</f>
        <v>53.781685632821002</v>
      </c>
      <c r="AL17" s="23">
        <f>21.2670515894902*2</f>
        <v>42.534103178980402</v>
      </c>
      <c r="AM17" s="23">
        <f>37.8255964351283*2</f>
        <v>75.651192870256594</v>
      </c>
      <c r="AN17" s="23" t="s">
        <v>94</v>
      </c>
      <c r="AO17" s="23" t="s">
        <v>94</v>
      </c>
      <c r="AP17" s="23">
        <v>7.4500376280684497</v>
      </c>
      <c r="AQ17" s="23">
        <v>12.883376238669699</v>
      </c>
      <c r="AR17" s="23">
        <f>1.45021204657146*2</f>
        <v>2.9004240931429202</v>
      </c>
      <c r="AS17" s="23">
        <f>14.5084933609913*2</f>
        <v>29.016986721982601</v>
      </c>
      <c r="AT17" s="23">
        <f>7.18374350302679*2</f>
        <v>14.36748700605358</v>
      </c>
      <c r="AU17" s="23">
        <f>4.77928917153054*2</f>
        <v>9.5585783430610807</v>
      </c>
      <c r="AV17" s="23" t="s">
        <v>94</v>
      </c>
      <c r="AW17" s="23" t="s">
        <v>94</v>
      </c>
      <c r="AX17" s="23">
        <v>3.9435725499566598</v>
      </c>
      <c r="AY17" s="23">
        <v>-1.9350917722978001</v>
      </c>
      <c r="AZ17" s="23" t="s">
        <v>94</v>
      </c>
      <c r="BA17" s="23" t="s">
        <v>94</v>
      </c>
      <c r="BB17" s="23">
        <v>2.5997434893237998</v>
      </c>
      <c r="BC17" s="23">
        <v>-1.6118249090905601</v>
      </c>
      <c r="BD17" s="23" t="s">
        <v>94</v>
      </c>
      <c r="BE17" s="23" t="s">
        <v>94</v>
      </c>
      <c r="BF17" s="23">
        <v>1.9265264194588201</v>
      </c>
      <c r="BG17" s="23">
        <v>-0.34570448450881602</v>
      </c>
      <c r="BH17" s="23" t="s">
        <v>94</v>
      </c>
      <c r="BI17" s="23" t="s">
        <v>94</v>
      </c>
      <c r="BJ17" s="23">
        <v>0.44782779342807599</v>
      </c>
      <c r="BK17" s="36">
        <v>1.9019982612464899E-2</v>
      </c>
      <c r="BL17" s="2"/>
      <c r="BM17" s="35" t="s">
        <v>94</v>
      </c>
      <c r="BN17" s="21" t="s">
        <v>94</v>
      </c>
      <c r="BO17" s="25">
        <v>0.12563533184030901</v>
      </c>
      <c r="BP17" s="21">
        <v>57.138842833990303</v>
      </c>
      <c r="BQ17" s="25" t="s">
        <v>94</v>
      </c>
      <c r="BR17" s="21" t="s">
        <v>94</v>
      </c>
      <c r="BS17" s="25">
        <v>0.12561117720319601</v>
      </c>
      <c r="BT17" s="32">
        <v>67.050399873036099</v>
      </c>
      <c r="BV17" s="37">
        <f>6977903/1000000</f>
        <v>6.9779030000000004</v>
      </c>
      <c r="BW17" s="1">
        <v>1000</v>
      </c>
      <c r="BX17" s="1">
        <v>750</v>
      </c>
      <c r="BY17" s="21">
        <v>4.1651833436680796</v>
      </c>
      <c r="BZ17" s="21">
        <v>16.698726163599598</v>
      </c>
      <c r="CA17" s="45">
        <v>6.2962104232645303E-6</v>
      </c>
      <c r="CB17" s="45">
        <v>6.6931760605327198E-3</v>
      </c>
      <c r="CC17" s="45">
        <v>1.09796716047927E-4</v>
      </c>
      <c r="CD17" s="45">
        <v>2.8263066886691999E-4</v>
      </c>
      <c r="CE17" s="45">
        <v>1.4218385184773701E-4</v>
      </c>
      <c r="CF17" s="45">
        <v>1.9326031206755699E-4</v>
      </c>
      <c r="CG17" s="23"/>
      <c r="CH17" s="21">
        <v>6.7998619079589799</v>
      </c>
      <c r="CI17" s="21"/>
      <c r="CJ17" s="38">
        <v>44341</v>
      </c>
      <c r="CL17" s="88">
        <v>0</v>
      </c>
      <c r="CM17" s="1">
        <f>-126.284563580508*2</f>
        <v>-252.56912716101601</v>
      </c>
      <c r="CN17" s="20">
        <v>0</v>
      </c>
    </row>
    <row r="18" spans="2:92" s="1" customFormat="1" x14ac:dyDescent="0.25">
      <c r="B18" s="1" t="s">
        <v>143</v>
      </c>
      <c r="C18" s="1" t="s">
        <v>131</v>
      </c>
      <c r="D18" s="20" t="s">
        <v>139</v>
      </c>
      <c r="E18" s="19">
        <v>40</v>
      </c>
      <c r="F18" s="2">
        <v>50</v>
      </c>
      <c r="G18" s="21">
        <v>0</v>
      </c>
      <c r="H18" s="21">
        <v>0</v>
      </c>
      <c r="I18" s="21">
        <v>0</v>
      </c>
      <c r="J18" s="21">
        <v>0</v>
      </c>
      <c r="K18" s="21">
        <f t="shared" si="0"/>
        <v>0.37205313099218562</v>
      </c>
      <c r="L18" s="2">
        <v>0</v>
      </c>
      <c r="M18" s="20">
        <v>11</v>
      </c>
      <c r="N18" s="37">
        <f>54.1151099749473*2</f>
        <v>108.2302199498946</v>
      </c>
      <c r="O18" s="21">
        <v>0</v>
      </c>
      <c r="P18" s="21">
        <f>112.279053081933*2</f>
        <v>224.558106163866</v>
      </c>
      <c r="Q18" s="23">
        <f t="shared" si="1"/>
        <v>63.156451166884189</v>
      </c>
      <c r="R18" s="23">
        <f t="shared" si="2"/>
        <v>161.40165499698179</v>
      </c>
      <c r="S18" s="25">
        <f t="shared" si="3"/>
        <v>2.0748189024084551</v>
      </c>
      <c r="T18" s="21">
        <v>0</v>
      </c>
      <c r="U18" s="21">
        <f>-16.9859869767531*2</f>
        <v>-33.9719739535062</v>
      </c>
      <c r="V18" s="21">
        <v>0</v>
      </c>
      <c r="W18" s="21">
        <f t="shared" ref="W18:W81" si="12">IF(OR(ISERROR((($CL18)/(1.2*$P18)+0.5)*100),$CL18=""),"",(($CL18)/(1.2*$P18)+0.5)*100)</f>
        <v>50</v>
      </c>
      <c r="X18" s="32">
        <f t="shared" si="5"/>
        <v>28.124770130006908</v>
      </c>
      <c r="Y18" s="35">
        <f t="shared" si="11"/>
        <v>1.4603504125470681</v>
      </c>
      <c r="Z18" s="25">
        <f>IF(OR(ISERROR($O18/$M18)),"",($O18*2)/(1.225*($M18^2)))</f>
        <v>0</v>
      </c>
      <c r="AA18" s="25">
        <f t="shared" si="8"/>
        <v>3.0299626400926423</v>
      </c>
      <c r="AB18" s="25">
        <f t="shared" ref="AB18:AB81" si="13">IF(OR(ISERROR($T18/$M18)),"",($T18*2)/(1.225*($M18^2)))</f>
        <v>0</v>
      </c>
      <c r="AC18" s="25">
        <f t="shared" si="10"/>
        <v>-0.45838386174405393</v>
      </c>
      <c r="AD18" s="34">
        <f>IF(OR(ISERROR($V18/$M18)),"",($V18*2)/(1.225*($M18^2)))</f>
        <v>0</v>
      </c>
      <c r="AE18" s="2"/>
      <c r="AF18" s="24" t="s">
        <v>94</v>
      </c>
      <c r="AG18" s="23" t="s">
        <v>94</v>
      </c>
      <c r="AH18" s="23">
        <v>4.8492771631600498</v>
      </c>
      <c r="AI18" s="23">
        <v>29.939217174025199</v>
      </c>
      <c r="AJ18" s="23">
        <f>3.16752341184762*2</f>
        <v>6.3350468236952402</v>
      </c>
      <c r="AK18" s="23">
        <f>21.7479525141765*2</f>
        <v>43.495905028353</v>
      </c>
      <c r="AL18" s="23">
        <f>20.524545715615*2</f>
        <v>41.049091431230003</v>
      </c>
      <c r="AM18" s="23">
        <f>35.3177774355017*2</f>
        <v>70.635554871003393</v>
      </c>
      <c r="AN18" s="23" t="s">
        <v>94</v>
      </c>
      <c r="AO18" s="23" t="s">
        <v>94</v>
      </c>
      <c r="AP18" s="23">
        <v>7.0890379924695202</v>
      </c>
      <c r="AQ18" s="23">
        <v>12.992173204141499</v>
      </c>
      <c r="AR18" s="23">
        <f>1.40053865834584*2</f>
        <v>2.8010773166916798</v>
      </c>
      <c r="AS18" s="23">
        <f>12.7083579727454*2</f>
        <v>25.4167159454908</v>
      </c>
      <c r="AT18" s="23">
        <f>7.28285808579934*2</f>
        <v>14.56571617159868</v>
      </c>
      <c r="AU18" s="23">
        <f>5.71582077600446*2</f>
        <v>11.431641552008919</v>
      </c>
      <c r="AV18" s="23" t="s">
        <v>94</v>
      </c>
      <c r="AW18" s="23" t="s">
        <v>94</v>
      </c>
      <c r="AX18" s="23">
        <v>3.8392022923265601</v>
      </c>
      <c r="AY18" s="23">
        <v>-1.5559149587649399</v>
      </c>
      <c r="AZ18" s="23" t="s">
        <v>94</v>
      </c>
      <c r="BA18" s="23" t="s">
        <v>94</v>
      </c>
      <c r="BB18" s="23">
        <v>2.6112937791450399</v>
      </c>
      <c r="BC18" s="23">
        <v>-1.20245148939361</v>
      </c>
      <c r="BD18" s="23" t="s">
        <v>94</v>
      </c>
      <c r="BE18" s="23" t="s">
        <v>94</v>
      </c>
      <c r="BF18" s="23">
        <v>1.8767337688899</v>
      </c>
      <c r="BG18" s="23">
        <v>-1.5559149587649399</v>
      </c>
      <c r="BH18" s="23" t="s">
        <v>94</v>
      </c>
      <c r="BI18" s="23" t="s">
        <v>94</v>
      </c>
      <c r="BJ18" s="23">
        <v>0.48954634607384501</v>
      </c>
      <c r="BK18" s="36">
        <v>-1.20245148939361</v>
      </c>
      <c r="BL18" s="2"/>
      <c r="BM18" s="35" t="s">
        <v>94</v>
      </c>
      <c r="BN18" s="21" t="s">
        <v>94</v>
      </c>
      <c r="BO18" s="25">
        <v>0.12534079631940701</v>
      </c>
      <c r="BP18" s="21">
        <v>55.574087582173902</v>
      </c>
      <c r="BQ18" s="25" t="s">
        <v>94</v>
      </c>
      <c r="BR18" s="21" t="s">
        <v>94</v>
      </c>
      <c r="BS18" s="25">
        <v>0.12536026699327399</v>
      </c>
      <c r="BT18" s="32">
        <v>67.889770192737799</v>
      </c>
      <c r="BV18" s="37">
        <f>7016730/1000000</f>
        <v>7.0167299999999999</v>
      </c>
      <c r="BW18" s="1">
        <v>1000</v>
      </c>
      <c r="BX18" s="1">
        <v>750</v>
      </c>
      <c r="BY18" s="21">
        <v>4.1681911993072003</v>
      </c>
      <c r="BZ18" s="21">
        <v>16.6715617780042</v>
      </c>
      <c r="CA18" s="45">
        <v>6.3273927206574403E-6</v>
      </c>
      <c r="CB18" s="45">
        <v>6.5792854897903704E-3</v>
      </c>
      <c r="CC18" s="45">
        <v>1.2088927991497601E-4</v>
      </c>
      <c r="CD18" s="45">
        <v>3.2820758890082498E-4</v>
      </c>
      <c r="CE18" s="45">
        <v>1.5111354764880399E-4</v>
      </c>
      <c r="CF18" s="45">
        <v>2.1456276307319199E-4</v>
      </c>
      <c r="CG18" s="23"/>
      <c r="CH18" s="21">
        <v>16.6610717773437</v>
      </c>
      <c r="CI18" s="21"/>
      <c r="CJ18" s="38">
        <v>44342</v>
      </c>
      <c r="CL18" s="88">
        <v>0</v>
      </c>
      <c r="CM18" s="1">
        <f>-124.279274347676*2</f>
        <v>-248.55854869535199</v>
      </c>
      <c r="CN18" s="20">
        <v>0</v>
      </c>
    </row>
    <row r="19" spans="2:92" s="1" customFormat="1" x14ac:dyDescent="0.25">
      <c r="B19" s="1" t="s">
        <v>144</v>
      </c>
      <c r="C19" s="1" t="s">
        <v>132</v>
      </c>
      <c r="D19" s="20" t="s">
        <v>138</v>
      </c>
      <c r="E19" s="19">
        <v>40</v>
      </c>
      <c r="F19" s="2">
        <v>60</v>
      </c>
      <c r="G19" s="21">
        <v>0</v>
      </c>
      <c r="H19" s="21">
        <v>0</v>
      </c>
      <c r="I19" s="21">
        <v>0</v>
      </c>
      <c r="J19" s="21">
        <v>0</v>
      </c>
      <c r="K19" s="21">
        <f t="shared" si="0"/>
        <v>0.74412195121600655</v>
      </c>
      <c r="L19" s="2">
        <v>0</v>
      </c>
      <c r="M19" s="20">
        <v>11</v>
      </c>
      <c r="N19" s="37">
        <f>54.3625407888209*2</f>
        <v>108.7250815776418</v>
      </c>
      <c r="O19" s="21">
        <v>0</v>
      </c>
      <c r="P19" s="21">
        <f>119.870686388427*2</f>
        <v>239.74137277685401</v>
      </c>
      <c r="Q19" s="23">
        <f t="shared" si="1"/>
        <v>73.306921477018932</v>
      </c>
      <c r="R19" s="23">
        <f t="shared" si="2"/>
        <v>166.4344512998351</v>
      </c>
      <c r="S19" s="25">
        <f t="shared" si="3"/>
        <v>2.2050236182683571</v>
      </c>
      <c r="T19" s="21">
        <v>0</v>
      </c>
      <c r="U19" s="21">
        <f>-14.6369893805674*2</f>
        <v>-29.273978761134799</v>
      </c>
      <c r="V19" s="21">
        <v>0</v>
      </c>
      <c r="W19" s="21">
        <f t="shared" si="12"/>
        <v>50</v>
      </c>
      <c r="X19" s="32">
        <f t="shared" si="5"/>
        <v>30.577501341519138</v>
      </c>
      <c r="Y19" s="35">
        <f t="shared" si="11"/>
        <v>1.467027580740655</v>
      </c>
      <c r="Z19" s="25">
        <f>IF(OR(ISERROR($O19/$M19)),"",($O19*2)/(1.225*($M19^2)))</f>
        <v>0</v>
      </c>
      <c r="AA19" s="25">
        <f t="shared" si="8"/>
        <v>3.2348304641842329</v>
      </c>
      <c r="AB19" s="25">
        <f t="shared" si="13"/>
        <v>0</v>
      </c>
      <c r="AC19" s="25">
        <f t="shared" si="10"/>
        <v>-0.39499381023625968</v>
      </c>
      <c r="AD19" s="34">
        <f t="shared" ref="AD19:AD82" si="14">IF(OR(ISERROR($V19/$M19)),"",($V19*2)/(1.225*($M19^2)))</f>
        <v>0</v>
      </c>
      <c r="AE19" s="2"/>
      <c r="AF19" s="24" t="s">
        <v>94</v>
      </c>
      <c r="AG19" s="23" t="s">
        <v>94</v>
      </c>
      <c r="AH19" s="23">
        <v>4.7306088216062196</v>
      </c>
      <c r="AI19" s="23">
        <v>38.243858855382499</v>
      </c>
      <c r="AJ19" s="23">
        <f>3.09149447110523*2</f>
        <v>6.1829889422104598</v>
      </c>
      <c r="AK19" s="23">
        <f>20.879961464411*2</f>
        <v>41.759922928822</v>
      </c>
      <c r="AL19" s="23">
        <f>21.6763011434018*2</f>
        <v>43.352602286803602</v>
      </c>
      <c r="AM19" s="23">
        <f>36.550404505379*2</f>
        <v>73.100809010757999</v>
      </c>
      <c r="AN19" s="23" t="s">
        <v>94</v>
      </c>
      <c r="AO19" s="23" t="s">
        <v>94</v>
      </c>
      <c r="AP19" s="23">
        <v>6.8154637065321397</v>
      </c>
      <c r="AQ19" s="23">
        <v>12.5324372120819</v>
      </c>
      <c r="AR19" s="23">
        <f>1.19718425358933*2</f>
        <v>2.39436850717866</v>
      </c>
      <c r="AS19" s="23">
        <f>9.03426076887463*2</f>
        <v>18.068521537749259</v>
      </c>
      <c r="AT19" s="23">
        <f>7.27127040985711*2</f>
        <v>14.542540819714221</v>
      </c>
      <c r="AU19" s="23">
        <f>8.66674477044044*2</f>
        <v>17.33348954088088</v>
      </c>
      <c r="AV19" s="23" t="s">
        <v>94</v>
      </c>
      <c r="AW19" s="23" t="s">
        <v>94</v>
      </c>
      <c r="AX19" s="23">
        <v>3.1337207756877401</v>
      </c>
      <c r="AY19" s="23">
        <v>-1.6492659980556501</v>
      </c>
      <c r="AZ19" s="23" t="s">
        <v>94</v>
      </c>
      <c r="BA19" s="23" t="s">
        <v>94</v>
      </c>
      <c r="BB19" s="23">
        <v>3.1506974511741999</v>
      </c>
      <c r="BC19" s="23">
        <v>-1.0220037617873701</v>
      </c>
      <c r="BD19" s="23" t="s">
        <v>94</v>
      </c>
      <c r="BE19" s="23" t="s">
        <v>94</v>
      </c>
      <c r="BF19" s="23">
        <v>1.7258047375151799</v>
      </c>
      <c r="BG19" s="23">
        <v>-0.31701835340801399</v>
      </c>
      <c r="BH19" s="23" t="s">
        <v>94</v>
      </c>
      <c r="BI19" s="23" t="s">
        <v>94</v>
      </c>
      <c r="BJ19" s="23">
        <v>0.483880856351392</v>
      </c>
      <c r="BK19" s="36">
        <v>-6.7228244875924506E-2</v>
      </c>
      <c r="BL19" s="2"/>
      <c r="BM19" s="35" t="s">
        <v>94</v>
      </c>
      <c r="BN19" s="21" t="s">
        <v>94</v>
      </c>
      <c r="BO19" s="25">
        <v>0.12517933766393999</v>
      </c>
      <c r="BP19" s="21">
        <v>53.514995689219496</v>
      </c>
      <c r="BQ19" s="25" t="s">
        <v>94</v>
      </c>
      <c r="BR19" s="21" t="s">
        <v>94</v>
      </c>
      <c r="BS19" s="25">
        <v>0.12520932140185001</v>
      </c>
      <c r="BT19" s="32">
        <v>68.384612887728494</v>
      </c>
      <c r="BV19" s="37">
        <f>7080269/1000000</f>
        <v>7.0802690000000004</v>
      </c>
      <c r="BW19" s="1">
        <v>1000</v>
      </c>
      <c r="BX19" s="1">
        <v>750</v>
      </c>
      <c r="BY19" s="21">
        <v>4.8034677980251601</v>
      </c>
      <c r="BZ19" s="21">
        <v>18.924938461201201</v>
      </c>
      <c r="CA19" s="45">
        <v>6.5375126373501699E-6</v>
      </c>
      <c r="CB19" s="45">
        <v>5.1127481737853796E-3</v>
      </c>
      <c r="CC19" s="45">
        <v>1.30063306069343E-4</v>
      </c>
      <c r="CD19" s="45">
        <v>3.8474466341754802E-4</v>
      </c>
      <c r="CE19" s="45">
        <v>1.71433559342269E-4</v>
      </c>
      <c r="CF19" s="45">
        <v>2.66234475964732E-4</v>
      </c>
      <c r="CG19" s="23"/>
      <c r="CH19" s="21">
        <v>7.764404296875</v>
      </c>
      <c r="CI19" s="21"/>
      <c r="CJ19" s="38">
        <v>44342</v>
      </c>
      <c r="CL19" s="88">
        <v>0</v>
      </c>
      <c r="CM19" s="1">
        <f>-128.154527500873*2</f>
        <v>-256.309055001746</v>
      </c>
      <c r="CN19" s="20">
        <v>0</v>
      </c>
    </row>
    <row r="20" spans="2:92" s="1" customFormat="1" x14ac:dyDescent="0.25">
      <c r="B20" s="1" t="s">
        <v>145</v>
      </c>
      <c r="C20" s="1" t="s">
        <v>133</v>
      </c>
      <c r="D20" s="20" t="s">
        <v>137</v>
      </c>
      <c r="E20" s="19">
        <v>40</v>
      </c>
      <c r="F20" s="2">
        <v>30</v>
      </c>
      <c r="G20" s="21">
        <v>0</v>
      </c>
      <c r="H20" s="21">
        <v>0</v>
      </c>
      <c r="I20" s="21">
        <v>0</v>
      </c>
      <c r="J20" s="21">
        <v>0</v>
      </c>
      <c r="K20" s="21">
        <f t="shared" si="0"/>
        <v>-0.37205313099218568</v>
      </c>
      <c r="L20" s="2">
        <v>0</v>
      </c>
      <c r="M20" s="20">
        <v>11</v>
      </c>
      <c r="N20" s="37">
        <f>55.6328184224685*2</f>
        <v>111.26563684493701</v>
      </c>
      <c r="O20" s="21">
        <v>0</v>
      </c>
      <c r="P20" s="21">
        <f>120.957097543627*2</f>
        <v>241.914195087254</v>
      </c>
      <c r="Q20" s="23">
        <f t="shared" si="1"/>
        <v>70.107723430504635</v>
      </c>
      <c r="R20" s="23">
        <f t="shared" si="2"/>
        <v>171.80647165674935</v>
      </c>
      <c r="S20" s="25">
        <f t="shared" si="3"/>
        <v>2.1742040215380474</v>
      </c>
      <c r="T20" s="21">
        <v>0</v>
      </c>
      <c r="U20" s="21">
        <f>-17.5097847178721*2</f>
        <v>-35.019569435744202</v>
      </c>
      <c r="V20" s="21">
        <v>0</v>
      </c>
      <c r="W20" s="21">
        <f t="shared" si="12"/>
        <v>50</v>
      </c>
      <c r="X20" s="32">
        <f t="shared" si="5"/>
        <v>28.980409109609326</v>
      </c>
      <c r="Y20" s="35">
        <f t="shared" si="11"/>
        <v>1.5013072942477583</v>
      </c>
      <c r="Z20" s="25">
        <f>IF(OR(ISERROR($O20/$M20)),"",($O20*2)/(1.225*($M20^2)))</f>
        <v>0</v>
      </c>
      <c r="AA20" s="25">
        <f t="shared" si="8"/>
        <v>3.2641483567178811</v>
      </c>
      <c r="AB20" s="25">
        <f t="shared" si="13"/>
        <v>0</v>
      </c>
      <c r="AC20" s="25">
        <f t="shared" si="10"/>
        <v>-0.4725190681159615</v>
      </c>
      <c r="AD20" s="34">
        <f t="shared" si="14"/>
        <v>0</v>
      </c>
      <c r="AE20" s="2"/>
      <c r="AF20" s="24" t="s">
        <v>94</v>
      </c>
      <c r="AG20" s="23" t="s">
        <v>94</v>
      </c>
      <c r="AH20" s="23">
        <v>4.3685484069988396</v>
      </c>
      <c r="AI20" s="23">
        <v>27.529433610026899</v>
      </c>
      <c r="AJ20" s="23">
        <f>3.73881200018423*2</f>
        <v>7.4776240003684604</v>
      </c>
      <c r="AK20" s="23">
        <f>26.2861352987281*2</f>
        <v>52.572270597456203</v>
      </c>
      <c r="AL20" s="23">
        <f>21.0776911782833*2</f>
        <v>42.155382356566598</v>
      </c>
      <c r="AM20" s="23">
        <f>38.6739280972019*2</f>
        <v>77.347856194403803</v>
      </c>
      <c r="AN20" s="23" t="s">
        <v>94</v>
      </c>
      <c r="AO20" s="23" t="s">
        <v>94</v>
      </c>
      <c r="AP20" s="23">
        <v>7.2413537205247396</v>
      </c>
      <c r="AQ20" s="23">
        <v>12.934768810463201</v>
      </c>
      <c r="AR20" s="23">
        <f>1.58425017893564*2</f>
        <v>3.16850035787128</v>
      </c>
      <c r="AS20" s="23">
        <f>17.9764160523244*2</f>
        <v>35.952832104648799</v>
      </c>
      <c r="AT20" s="23">
        <f>7.13047262887113*2</f>
        <v>14.260945257742261</v>
      </c>
      <c r="AU20" s="23">
        <f>4.30390032968665*2</f>
        <v>8.6078006593733001</v>
      </c>
      <c r="AV20" s="23" t="s">
        <v>94</v>
      </c>
      <c r="AW20" s="23" t="s">
        <v>94</v>
      </c>
      <c r="AX20" s="23">
        <v>3.9516532342591599</v>
      </c>
      <c r="AY20" s="23">
        <v>-2.1306994483823098</v>
      </c>
      <c r="AZ20" s="23" t="s">
        <v>94</v>
      </c>
      <c r="BA20" s="23" t="s">
        <v>94</v>
      </c>
      <c r="BB20" s="23">
        <v>2.7020631833698898</v>
      </c>
      <c r="BC20" s="23">
        <v>-1.2302627044735699</v>
      </c>
      <c r="BD20" s="23" t="s">
        <v>94</v>
      </c>
      <c r="BE20" s="23" t="s">
        <v>94</v>
      </c>
      <c r="BF20" s="23">
        <v>1.9762719600654799</v>
      </c>
      <c r="BG20" s="23">
        <v>-0.12985984279218599</v>
      </c>
      <c r="BH20" s="23" t="s">
        <v>94</v>
      </c>
      <c r="BI20" s="23" t="s">
        <v>94</v>
      </c>
      <c r="BJ20" s="23">
        <v>0.45064685620742301</v>
      </c>
      <c r="BK20" s="36">
        <v>4.3415481940005003E-2</v>
      </c>
      <c r="BL20" s="2"/>
      <c r="BM20" s="35" t="s">
        <v>94</v>
      </c>
      <c r="BN20" s="21" t="s">
        <v>94</v>
      </c>
      <c r="BO20" s="25">
        <v>0.12566243637762101</v>
      </c>
      <c r="BP20" s="21">
        <v>56.109698411147797</v>
      </c>
      <c r="BQ20" s="25" t="s">
        <v>94</v>
      </c>
      <c r="BR20" s="21" t="s">
        <v>94</v>
      </c>
      <c r="BS20" s="25">
        <v>0.12563880761289301</v>
      </c>
      <c r="BT20" s="32">
        <v>67.019045818431806</v>
      </c>
      <c r="BV20" s="37">
        <f>7034158/1000000</f>
        <v>7.0341579999999997</v>
      </c>
      <c r="BW20" s="1">
        <v>1000</v>
      </c>
      <c r="BX20" s="1">
        <v>750</v>
      </c>
      <c r="BY20" s="21">
        <v>4.9184482239173803</v>
      </c>
      <c r="BZ20" s="21">
        <v>20.286518020002099</v>
      </c>
      <c r="CA20" s="45">
        <v>7.4126296494414298E-6</v>
      </c>
      <c r="CB20" s="45">
        <v>6.3714638756745198E-3</v>
      </c>
      <c r="CC20" s="45">
        <v>1.3347690180251899E-4</v>
      </c>
      <c r="CD20" s="45">
        <v>3.5933614322222399E-4</v>
      </c>
      <c r="CE20" s="45">
        <v>1.8096779137340201E-4</v>
      </c>
      <c r="CF20" s="45">
        <v>2.4879030662455E-4</v>
      </c>
      <c r="CG20" s="23"/>
      <c r="CH20" s="21">
        <v>15.449073791503899</v>
      </c>
      <c r="CI20" s="21"/>
      <c r="CJ20" s="38">
        <v>44343</v>
      </c>
      <c r="CL20" s="88">
        <v>0</v>
      </c>
      <c r="CM20" s="1">
        <f>-132.290983175697*2</f>
        <v>-264.58196635139399</v>
      </c>
      <c r="CN20" s="20">
        <v>0</v>
      </c>
    </row>
    <row r="21" spans="2:92" s="1" customFormat="1" x14ac:dyDescent="0.25">
      <c r="B21" s="1" t="s">
        <v>146</v>
      </c>
      <c r="C21" s="1" t="s">
        <v>134</v>
      </c>
      <c r="D21" s="20" t="s">
        <v>140</v>
      </c>
      <c r="E21" s="19">
        <v>40</v>
      </c>
      <c r="F21" s="2">
        <v>20</v>
      </c>
      <c r="G21" s="21">
        <v>0</v>
      </c>
      <c r="H21" s="21">
        <v>0</v>
      </c>
      <c r="I21" s="21">
        <v>0</v>
      </c>
      <c r="J21" s="21">
        <v>0</v>
      </c>
      <c r="K21" s="21">
        <f t="shared" si="0"/>
        <v>-0.74412195121600655</v>
      </c>
      <c r="L21" s="2">
        <v>0</v>
      </c>
      <c r="M21" s="20">
        <v>11</v>
      </c>
      <c r="N21" s="37">
        <f>53.9929162135393*2</f>
        <v>107.98583242707861</v>
      </c>
      <c r="O21" s="21">
        <v>0</v>
      </c>
      <c r="P21" s="21">
        <f>113.695024026576*2</f>
        <v>227.39004805315199</v>
      </c>
      <c r="Q21" s="23">
        <f t="shared" si="1"/>
        <v>64.01822741691042</v>
      </c>
      <c r="R21" s="23">
        <f t="shared" si="2"/>
        <v>163.37182063624158</v>
      </c>
      <c r="S21" s="25">
        <f t="shared" si="3"/>
        <v>2.1057396414173635</v>
      </c>
      <c r="T21" s="21">
        <v>0</v>
      </c>
      <c r="U21" s="21">
        <f>-17.3929239309294*2</f>
        <v>-34.785847861858798</v>
      </c>
      <c r="V21" s="21">
        <v>0</v>
      </c>
      <c r="W21" s="21">
        <f t="shared" si="12"/>
        <v>50</v>
      </c>
      <c r="X21" s="32">
        <f t="shared" si="5"/>
        <v>28.153486911593546</v>
      </c>
      <c r="Y21" s="35">
        <f t="shared" si="11"/>
        <v>1.4570528915780547</v>
      </c>
      <c r="Z21" s="25">
        <f t="shared" ref="Z21:Z84" si="15">IF(OR(ISERROR($O21/$M21)),"",($O21*2)/(1.225*($M21^2)))</f>
        <v>0</v>
      </c>
      <c r="AA21" s="25">
        <f t="shared" si="8"/>
        <v>3.0681740334377055</v>
      </c>
      <c r="AB21" s="25">
        <f t="shared" si="13"/>
        <v>0</v>
      </c>
      <c r="AC21" s="25">
        <f t="shared" si="10"/>
        <v>-0.46936546280126556</v>
      </c>
      <c r="AD21" s="34">
        <f t="shared" si="14"/>
        <v>0</v>
      </c>
      <c r="AE21" s="2"/>
      <c r="AF21" s="24" t="s">
        <v>94</v>
      </c>
      <c r="AG21" s="23" t="s">
        <v>94</v>
      </c>
      <c r="AH21" s="23">
        <v>3.65638389152496</v>
      </c>
      <c r="AI21" s="23">
        <v>21.8481779543329</v>
      </c>
      <c r="AJ21" s="23">
        <f>3.66227830760421*2</f>
        <v>7.3245566152084196</v>
      </c>
      <c r="AK21" s="23">
        <f>25.0446425546838*2</f>
        <v>50.089285109367601</v>
      </c>
      <c r="AL21" s="23">
        <f>20.1331014994853*2</f>
        <v>40.266202998970599</v>
      </c>
      <c r="AM21" s="23">
        <f>36.9881785012097*2</f>
        <v>73.976357002419405</v>
      </c>
      <c r="AN21" s="23" t="s">
        <v>94</v>
      </c>
      <c r="AO21" s="23" t="s">
        <v>94</v>
      </c>
      <c r="AP21" s="23">
        <v>7.2538157522414402</v>
      </c>
      <c r="AQ21" s="23">
        <v>12.0064743448009</v>
      </c>
      <c r="AR21" s="23">
        <f>1.55268854757421*2</f>
        <v>3.1053770951484201</v>
      </c>
      <c r="AS21" s="23">
        <f>19.4265476502563*2</f>
        <v>38.853095300512599</v>
      </c>
      <c r="AT21" s="23">
        <f>6.75500420742419*2</f>
        <v>13.510008414848381</v>
      </c>
      <c r="AU21" s="23">
        <f>2.7563681583639*2</f>
        <v>5.5127363167277998</v>
      </c>
      <c r="AV21" s="23" t="s">
        <v>94</v>
      </c>
      <c r="AW21" s="23" t="s">
        <v>94</v>
      </c>
      <c r="AX21" s="23">
        <v>4.7168014618676999</v>
      </c>
      <c r="AY21" s="23">
        <v>-0.55208858259098104</v>
      </c>
      <c r="AZ21" s="23" t="s">
        <v>94</v>
      </c>
      <c r="BA21" s="23" t="s">
        <v>94</v>
      </c>
      <c r="BB21" s="23">
        <v>2.5251724345619602</v>
      </c>
      <c r="BC21" s="23">
        <v>-0.94864698411112602</v>
      </c>
      <c r="BD21" s="23" t="s">
        <v>94</v>
      </c>
      <c r="BE21" s="23" t="s">
        <v>94</v>
      </c>
      <c r="BF21" s="23">
        <v>1.81840166500758</v>
      </c>
      <c r="BG21" s="23">
        <v>-0.134550793294443</v>
      </c>
      <c r="BH21" s="23" t="s">
        <v>94</v>
      </c>
      <c r="BI21" s="23" t="s">
        <v>94</v>
      </c>
      <c r="BJ21" s="23">
        <v>0.407746865431032</v>
      </c>
      <c r="BK21" s="36">
        <v>9.0005669912900196E-2</v>
      </c>
      <c r="BL21" s="2"/>
      <c r="BM21" s="35" t="s">
        <v>94</v>
      </c>
      <c r="BN21" s="21" t="s">
        <v>94</v>
      </c>
      <c r="BO21" s="25">
        <v>0.126237355627593</v>
      </c>
      <c r="BP21" s="21">
        <v>55.716521676332199</v>
      </c>
      <c r="BQ21" s="25" t="s">
        <v>94</v>
      </c>
      <c r="BR21" s="21" t="s">
        <v>94</v>
      </c>
      <c r="BS21" s="25">
        <v>0.12626030206317099</v>
      </c>
      <c r="BT21" s="32">
        <v>63.887631270954401</v>
      </c>
      <c r="BV21" s="37">
        <f>7073024/1000000</f>
        <v>7.0730240000000002</v>
      </c>
      <c r="BW21" s="1">
        <v>1000</v>
      </c>
      <c r="BX21" s="1">
        <v>750</v>
      </c>
      <c r="BY21" s="21">
        <v>5.0218674331114403</v>
      </c>
      <c r="BZ21" s="21">
        <v>20.2415040784105</v>
      </c>
      <c r="CA21" s="45">
        <v>6.8390714091598396E-6</v>
      </c>
      <c r="CB21" s="45">
        <v>5.72844737223003E-3</v>
      </c>
      <c r="CC21" s="45">
        <v>1.21173779869301E-4</v>
      </c>
      <c r="CD21" s="45">
        <v>3.6974145874464599E-4</v>
      </c>
      <c r="CE21" s="45">
        <v>1.65694305224246E-4</v>
      </c>
      <c r="CF21" s="45">
        <v>2.2792229457532399E-4</v>
      </c>
      <c r="CG21" s="23"/>
      <c r="CH21" s="21">
        <v>16.917739868163999</v>
      </c>
      <c r="CI21" s="21"/>
      <c r="CJ21" s="38">
        <v>44343</v>
      </c>
      <c r="CL21" s="88">
        <v>0</v>
      </c>
      <c r="CM21" s="1">
        <f>-125.796301889906*2</f>
        <v>-251.59260377981201</v>
      </c>
      <c r="CN21" s="20">
        <v>0</v>
      </c>
    </row>
    <row r="22" spans="2:92" s="1" customFormat="1" x14ac:dyDescent="0.25">
      <c r="B22" s="1" t="s">
        <v>147</v>
      </c>
      <c r="C22" s="1" t="s">
        <v>135</v>
      </c>
      <c r="D22" s="20" t="s">
        <v>141</v>
      </c>
      <c r="E22" s="19">
        <v>30</v>
      </c>
      <c r="F22" s="2">
        <v>40</v>
      </c>
      <c r="G22" s="21">
        <v>0</v>
      </c>
      <c r="H22" s="21">
        <v>0</v>
      </c>
      <c r="I22" s="21">
        <v>0</v>
      </c>
      <c r="J22" s="21">
        <v>0</v>
      </c>
      <c r="K22" s="21">
        <f t="shared" si="0"/>
        <v>0.37205313099218562</v>
      </c>
      <c r="L22" s="2">
        <v>0</v>
      </c>
      <c r="M22" s="20">
        <v>11</v>
      </c>
      <c r="N22" s="37">
        <f>53.6494466136301*2</f>
        <v>107.29889322726019</v>
      </c>
      <c r="O22" s="21">
        <v>0</v>
      </c>
      <c r="P22" s="21">
        <f>110.097274870429*2</f>
        <v>220.19454974085801</v>
      </c>
      <c r="Q22" s="23">
        <f t="shared" si="1"/>
        <v>57.583559722629431</v>
      </c>
      <c r="R22" s="23">
        <f t="shared" si="2"/>
        <v>162.61099001822859</v>
      </c>
      <c r="S22" s="25">
        <f t="shared" si="3"/>
        <v>2.0521604940927358</v>
      </c>
      <c r="T22" s="21">
        <v>0</v>
      </c>
      <c r="U22" s="21">
        <f>-19.8251329006781*2</f>
        <v>-39.650265801356198</v>
      </c>
      <c r="V22" s="21">
        <v>0</v>
      </c>
      <c r="W22" s="21">
        <f t="shared" si="12"/>
        <v>50</v>
      </c>
      <c r="X22" s="32">
        <f t="shared" si="5"/>
        <v>26.151219360514702</v>
      </c>
      <c r="Y22" s="35">
        <f t="shared" si="11"/>
        <v>1.4477840206073223</v>
      </c>
      <c r="Z22" s="25">
        <f t="shared" si="15"/>
        <v>0</v>
      </c>
      <c r="AA22" s="25">
        <f t="shared" si="8"/>
        <v>2.9710851710690904</v>
      </c>
      <c r="AB22" s="25">
        <f t="shared" si="13"/>
        <v>0</v>
      </c>
      <c r="AC22" s="25">
        <f t="shared" si="10"/>
        <v>-0.53500105652023877</v>
      </c>
      <c r="AD22" s="34">
        <f t="shared" si="14"/>
        <v>0</v>
      </c>
      <c r="AE22" s="2"/>
      <c r="AF22" s="24" t="s">
        <v>94</v>
      </c>
      <c r="AG22" s="23" t="s">
        <v>94</v>
      </c>
      <c r="AH22" s="23">
        <v>4.3513905456540298</v>
      </c>
      <c r="AI22" s="23">
        <v>27.515776756436502</v>
      </c>
      <c r="AJ22" s="23">
        <f>3.1553808973196*2</f>
        <v>6.3107617946392001</v>
      </c>
      <c r="AK22" s="23">
        <f>20.6672040862671*2</f>
        <v>41.334408172534197</v>
      </c>
      <c r="AL22" s="23">
        <f>21.0673357442344*2</f>
        <v>42.134671488468797</v>
      </c>
      <c r="AM22" s="23">
        <f>36.7544431121849*2</f>
        <v>73.508886224369803</v>
      </c>
      <c r="AN22" s="23" t="s">
        <v>94</v>
      </c>
      <c r="AO22" s="23" t="s">
        <v>94</v>
      </c>
      <c r="AP22" s="23">
        <v>7.1960626874740496</v>
      </c>
      <c r="AQ22" s="23">
        <v>12.826674112242801</v>
      </c>
      <c r="AR22" s="23">
        <f>7.19606268747405</f>
        <v>7.1960626874740496</v>
      </c>
      <c r="AS22" s="23">
        <f>12.8258680671094*2</f>
        <v>25.651736134218801</v>
      </c>
      <c r="AT22" s="23">
        <f>6.9923136280639*2</f>
        <v>13.9846272561278</v>
      </c>
      <c r="AU22" s="23">
        <f>5.40310543968988*2</f>
        <v>10.80621087937976</v>
      </c>
      <c r="AV22" s="23" t="s">
        <v>94</v>
      </c>
      <c r="AW22" s="23" t="s">
        <v>94</v>
      </c>
      <c r="AX22" s="23">
        <v>3.5233611691050402</v>
      </c>
      <c r="AY22" s="23">
        <v>-1.31849022876226</v>
      </c>
      <c r="AZ22" s="23" t="s">
        <v>94</v>
      </c>
      <c r="BA22" s="23" t="s">
        <v>94</v>
      </c>
      <c r="BB22" s="23">
        <v>2.7185668949719801</v>
      </c>
      <c r="BC22" s="23">
        <v>-1.3081548585004601</v>
      </c>
      <c r="BD22" s="23" t="s">
        <v>94</v>
      </c>
      <c r="BE22" s="23" t="s">
        <v>94</v>
      </c>
      <c r="BF22" s="23">
        <v>1.7470222367172299</v>
      </c>
      <c r="BG22" s="23">
        <v>-0.20792102444550301</v>
      </c>
      <c r="BH22" s="23" t="s">
        <v>94</v>
      </c>
      <c r="BI22" s="23" t="s">
        <v>94</v>
      </c>
      <c r="BJ22" s="23">
        <v>0.51038515872524204</v>
      </c>
      <c r="BK22" s="36">
        <v>-7.6873843069022799E-2</v>
      </c>
      <c r="BL22" s="2"/>
      <c r="BM22" s="35" t="s">
        <v>94</v>
      </c>
      <c r="BN22" s="21" t="s">
        <v>94</v>
      </c>
      <c r="BO22" s="25">
        <v>0.124520766724643</v>
      </c>
      <c r="BP22" s="21">
        <v>53.8932966234226</v>
      </c>
      <c r="BQ22" s="25" t="s">
        <v>94</v>
      </c>
      <c r="BR22" s="21" t="s">
        <v>94</v>
      </c>
      <c r="BS22" s="25">
        <v>0.124534525809206</v>
      </c>
      <c r="BT22" s="32">
        <v>71.323509359287897</v>
      </c>
      <c r="BV22" s="37">
        <f>7059279/1000000</f>
        <v>7.0592790000000001</v>
      </c>
      <c r="BW22" s="1">
        <v>1000</v>
      </c>
      <c r="BX22" s="1">
        <v>750</v>
      </c>
      <c r="BY22" s="21">
        <v>4.4636510243918099</v>
      </c>
      <c r="BZ22" s="21">
        <v>17.307672401213999</v>
      </c>
      <c r="CA22" s="45">
        <v>7.1773019945389697E-6</v>
      </c>
      <c r="CB22" s="45">
        <v>6.2398376193410496E-3</v>
      </c>
      <c r="CC22" s="45">
        <v>1.4368598945523799E-4</v>
      </c>
      <c r="CD22" s="45">
        <v>3.8246521123203302E-4</v>
      </c>
      <c r="CE22" s="45">
        <v>1.7927082110860901E-4</v>
      </c>
      <c r="CF22" s="45">
        <v>2.5791825577786898E-4</v>
      </c>
      <c r="CG22" s="23"/>
      <c r="CH22" s="21">
        <v>15.4915504455566</v>
      </c>
      <c r="CI22" s="21"/>
      <c r="CJ22" s="38">
        <v>44344</v>
      </c>
      <c r="CL22" s="88">
        <v>0</v>
      </c>
      <c r="CM22" s="1">
        <f>-125.210462314036*2</f>
        <v>-250.42092462807199</v>
      </c>
      <c r="CN22" s="20">
        <v>0</v>
      </c>
    </row>
    <row r="23" spans="2:92" s="1" customFormat="1" x14ac:dyDescent="0.25">
      <c r="B23" s="1" t="s">
        <v>148</v>
      </c>
      <c r="C23" s="1" t="s">
        <v>150</v>
      </c>
      <c r="D23" s="20" t="s">
        <v>152</v>
      </c>
      <c r="E23" s="19">
        <v>20</v>
      </c>
      <c r="F23" s="2">
        <v>40</v>
      </c>
      <c r="G23" s="21">
        <v>0</v>
      </c>
      <c r="H23" s="21">
        <v>0</v>
      </c>
      <c r="I23" s="21">
        <v>0</v>
      </c>
      <c r="J23" s="21">
        <v>0</v>
      </c>
      <c r="K23" s="21">
        <f t="shared" si="0"/>
        <v>0.74412195121600655</v>
      </c>
      <c r="L23" s="2">
        <v>0</v>
      </c>
      <c r="M23" s="20">
        <v>11</v>
      </c>
      <c r="N23" s="37">
        <f>53.2760415421412*2</f>
        <v>106.5520830842824</v>
      </c>
      <c r="O23" s="21">
        <v>0</v>
      </c>
      <c r="P23" s="21">
        <f>111.955693123508*2</f>
        <v>223.911386247016</v>
      </c>
      <c r="Q23" s="23">
        <f t="shared" si="1"/>
        <v>69.616488985704308</v>
      </c>
      <c r="R23" s="23">
        <f t="shared" si="2"/>
        <v>154.29489726131169</v>
      </c>
      <c r="S23" s="25">
        <f t="shared" si="3"/>
        <v>2.1014266428738209</v>
      </c>
      <c r="T23" s="21">
        <v>0</v>
      </c>
      <c r="U23" s="21">
        <f>-12.0291166877168*2</f>
        <v>-24.058233375433598</v>
      </c>
      <c r="V23" s="21">
        <v>0</v>
      </c>
      <c r="W23" s="21">
        <f t="shared" si="12"/>
        <v>50</v>
      </c>
      <c r="X23" s="32">
        <f t="shared" si="5"/>
        <v>31.09108927087091</v>
      </c>
      <c r="Y23" s="35">
        <f t="shared" si="11"/>
        <v>1.4377073109702463</v>
      </c>
      <c r="Z23" s="25">
        <f t="shared" si="15"/>
        <v>0</v>
      </c>
      <c r="AA23" s="25">
        <f t="shared" si="8"/>
        <v>3.021236447927353</v>
      </c>
      <c r="AB23" s="25">
        <f t="shared" si="13"/>
        <v>0</v>
      </c>
      <c r="AC23" s="25">
        <f t="shared" si="10"/>
        <v>-0.32461775510789131</v>
      </c>
      <c r="AD23" s="34">
        <f t="shared" si="14"/>
        <v>0</v>
      </c>
      <c r="AE23" s="2"/>
      <c r="AF23" s="24" t="s">
        <v>94</v>
      </c>
      <c r="AG23" s="23" t="s">
        <v>94</v>
      </c>
      <c r="AH23" s="23">
        <v>3.9822484079129499</v>
      </c>
      <c r="AI23" s="23">
        <v>25.642139128089902</v>
      </c>
      <c r="AJ23" s="23">
        <f>3.55395960414693*2</f>
        <v>7.1079192082938603</v>
      </c>
      <c r="AK23" s="23">
        <f>25.1171342342648*2</f>
        <v>50.234268468529599</v>
      </c>
      <c r="AL23" s="23">
        <f>21.5115796634053*2</f>
        <v>43.0231593268106</v>
      </c>
      <c r="AM23" s="23">
        <f>37.4394094727477*2</f>
        <v>74.878818945495397</v>
      </c>
      <c r="AN23" s="23" t="s">
        <v>94</v>
      </c>
      <c r="AO23" s="23" t="s">
        <v>94</v>
      </c>
      <c r="AP23" s="23">
        <v>7.4974149091285103</v>
      </c>
      <c r="AQ23" s="23">
        <v>12.7781911092938</v>
      </c>
      <c r="AR23" s="23">
        <f>1.21481938160124*2</f>
        <v>2.4296387632024801</v>
      </c>
      <c r="AS23" s="23">
        <f>11.6961310458484*2</f>
        <v>23.3922620916968</v>
      </c>
      <c r="AT23" s="23">
        <f>6.76195302154206*2</f>
        <v>13.52390604308412</v>
      </c>
      <c r="AU23" s="23">
        <f>4.55867648491762*2</f>
        <v>9.11735296983524</v>
      </c>
      <c r="AV23" s="23" t="s">
        <v>94</v>
      </c>
      <c r="AW23" s="23" t="s">
        <v>94</v>
      </c>
      <c r="AX23" s="23">
        <v>3.1218325872934898</v>
      </c>
      <c r="AY23" s="23">
        <v>-1.2654458428048201</v>
      </c>
      <c r="AZ23" s="23" t="s">
        <v>94</v>
      </c>
      <c r="BA23" s="23" t="s">
        <v>94</v>
      </c>
      <c r="BB23" s="23">
        <v>2.5659554792877799</v>
      </c>
      <c r="BC23" s="23">
        <v>-1.3012307447525999</v>
      </c>
      <c r="BD23" s="23" t="s">
        <v>94</v>
      </c>
      <c r="BE23" s="23" t="s">
        <v>94</v>
      </c>
      <c r="BF23" s="23">
        <v>1.5230860357141001</v>
      </c>
      <c r="BG23" s="23">
        <v>7.9012424305215101E-2</v>
      </c>
      <c r="BH23" s="23" t="s">
        <v>94</v>
      </c>
      <c r="BI23" s="23" t="s">
        <v>94</v>
      </c>
      <c r="BJ23" s="23">
        <v>0.299674728570617</v>
      </c>
      <c r="BK23" s="36">
        <v>-2.68460911168752E-3</v>
      </c>
      <c r="BL23" s="2"/>
      <c r="BM23" s="35" t="s">
        <v>94</v>
      </c>
      <c r="BN23" s="21" t="s">
        <v>94</v>
      </c>
      <c r="BO23" s="25">
        <v>0.12517213563156299</v>
      </c>
      <c r="BP23" s="21">
        <v>53.111911889466803</v>
      </c>
      <c r="BQ23" s="25" t="s">
        <v>94</v>
      </c>
      <c r="BR23" s="21" t="s">
        <v>94</v>
      </c>
      <c r="BS23" s="25">
        <v>0.125140295461586</v>
      </c>
      <c r="BT23" s="32">
        <v>68.625334795581907</v>
      </c>
      <c r="BV23" s="37">
        <f>7019743/1000000</f>
        <v>7.0197430000000001</v>
      </c>
      <c r="BW23" s="1">
        <v>1000</v>
      </c>
      <c r="BX23" s="1">
        <v>750</v>
      </c>
      <c r="BY23" s="21">
        <v>4.4602012766941002</v>
      </c>
      <c r="BZ23" s="21">
        <v>17.638691667205599</v>
      </c>
      <c r="CA23" s="45">
        <v>8.0799024593890093E-6</v>
      </c>
      <c r="CB23" s="45">
        <v>6.1136206203692102E-3</v>
      </c>
      <c r="CC23" s="45">
        <v>1.7303317344770599E-4</v>
      </c>
      <c r="CD23" s="45">
        <v>4.9730414548501895E-4</v>
      </c>
      <c r="CE23" s="45">
        <v>2.33428818543115E-4</v>
      </c>
      <c r="CF23" s="45">
        <v>3.1387884127612501E-4</v>
      </c>
      <c r="CG23" s="23"/>
      <c r="CH23" s="21">
        <v>16.737014770507798</v>
      </c>
      <c r="CI23" s="21"/>
      <c r="CJ23" s="38">
        <v>44344</v>
      </c>
      <c r="CL23" s="88">
        <v>0</v>
      </c>
      <c r="CM23" s="1">
        <f>-118.80707089121*2</f>
        <v>-237.61414178242001</v>
      </c>
      <c r="CN23" s="20">
        <v>0</v>
      </c>
    </row>
    <row r="24" spans="2:92" s="1" customFormat="1" x14ac:dyDescent="0.25">
      <c r="B24" s="1" t="s">
        <v>149</v>
      </c>
      <c r="C24" s="1" t="s">
        <v>151</v>
      </c>
      <c r="D24" s="20" t="s">
        <v>153</v>
      </c>
      <c r="E24" s="19">
        <v>50</v>
      </c>
      <c r="F24" s="2">
        <v>40</v>
      </c>
      <c r="G24" s="21">
        <v>0</v>
      </c>
      <c r="H24" s="21">
        <v>0</v>
      </c>
      <c r="I24" s="21">
        <v>0</v>
      </c>
      <c r="J24" s="21">
        <v>0</v>
      </c>
      <c r="K24" s="21">
        <f t="shared" si="0"/>
        <v>-0.37205313099218568</v>
      </c>
      <c r="L24" s="2">
        <v>0</v>
      </c>
      <c r="M24" s="20">
        <v>11</v>
      </c>
      <c r="N24" s="37">
        <f>54.9341365621471*2</f>
        <v>109.86827312429421</v>
      </c>
      <c r="O24" s="21">
        <v>0</v>
      </c>
      <c r="P24" s="21">
        <f>116.815887496973*2</f>
        <v>233.63177499394601</v>
      </c>
      <c r="Q24" s="23">
        <f t="shared" si="1"/>
        <v>69.265294971592766</v>
      </c>
      <c r="R24" s="23">
        <f t="shared" si="2"/>
        <v>164.36648002235324</v>
      </c>
      <c r="S24" s="25">
        <f t="shared" si="3"/>
        <v>2.1264717133547544</v>
      </c>
      <c r="T24" s="21">
        <v>0</v>
      </c>
      <c r="U24" s="21">
        <f>-15.346538867396*2</f>
        <v>-30.693077734791999</v>
      </c>
      <c r="V24" s="21">
        <v>0</v>
      </c>
      <c r="W24" s="21">
        <f t="shared" si="12"/>
        <v>50</v>
      </c>
      <c r="X24" s="32">
        <f t="shared" si="5"/>
        <v>29.647206581120059</v>
      </c>
      <c r="Y24" s="35">
        <f t="shared" si="11"/>
        <v>1.4824526648580765</v>
      </c>
      <c r="Z24" s="25">
        <f t="shared" si="15"/>
        <v>0</v>
      </c>
      <c r="AA24" s="25">
        <f t="shared" si="8"/>
        <v>3.1523936582080752</v>
      </c>
      <c r="AB24" s="25">
        <f t="shared" si="13"/>
        <v>0</v>
      </c>
      <c r="AC24" s="25">
        <f t="shared" si="10"/>
        <v>-0.41414171340586264</v>
      </c>
      <c r="AD24" s="34">
        <f t="shared" si="14"/>
        <v>0</v>
      </c>
      <c r="AE24" s="2"/>
      <c r="AF24" s="24" t="s">
        <v>94</v>
      </c>
      <c r="AG24" s="23" t="s">
        <v>94</v>
      </c>
      <c r="AH24" s="23">
        <v>4.5762815053597201</v>
      </c>
      <c r="AI24" s="23">
        <v>28.540370180109001</v>
      </c>
      <c r="AJ24" s="23">
        <f>3.71176301119479*2</f>
        <v>7.4235260223895798</v>
      </c>
      <c r="AK24" s="23">
        <f>25.5534915829232*2</f>
        <v>51.106983165846401</v>
      </c>
      <c r="AL24" s="23">
        <f>20.359808518671*2</f>
        <v>40.719617037341997</v>
      </c>
      <c r="AM24" s="23">
        <f>36.944253196565*2</f>
        <v>73.888506393130001</v>
      </c>
      <c r="AN24" s="23" t="s">
        <v>94</v>
      </c>
      <c r="AO24" s="23" t="s">
        <v>94</v>
      </c>
      <c r="AP24" s="23">
        <v>7.0003837231578299</v>
      </c>
      <c r="AQ24" s="23">
        <v>12.582349656008301</v>
      </c>
      <c r="AR24" s="23">
        <f>1.53808513904504*2</f>
        <v>3.0761702780900801</v>
      </c>
      <c r="AS24" s="23">
        <f>15.6943967375532*2</f>
        <v>31.3887934751064</v>
      </c>
      <c r="AT24" s="23">
        <f>7.31684673742594*2</f>
        <v>14.63369347485188</v>
      </c>
      <c r="AU24" s="23">
        <f>4.72483634217953*2</f>
        <v>9.4496726843590597</v>
      </c>
      <c r="AV24" s="23" t="s">
        <v>94</v>
      </c>
      <c r="AW24" s="23" t="s">
        <v>94</v>
      </c>
      <c r="AX24" s="23">
        <v>4.2075301127071301</v>
      </c>
      <c r="AY24" s="23">
        <v>-1.96763180163872</v>
      </c>
      <c r="AZ24" s="23" t="s">
        <v>94</v>
      </c>
      <c r="BA24" s="23" t="s">
        <v>94</v>
      </c>
      <c r="BB24" s="23">
        <v>2.4666169980343899</v>
      </c>
      <c r="BC24" s="23">
        <v>-1.59313523084774</v>
      </c>
      <c r="BD24" s="23" t="s">
        <v>94</v>
      </c>
      <c r="BE24" s="23" t="s">
        <v>94</v>
      </c>
      <c r="BF24" s="23">
        <v>1.90353722249144</v>
      </c>
      <c r="BG24" s="23">
        <v>-0.36641552784450998</v>
      </c>
      <c r="BH24" s="23" t="s">
        <v>94</v>
      </c>
      <c r="BI24" s="23" t="s">
        <v>94</v>
      </c>
      <c r="BJ24" s="23">
        <v>0.48506049675343099</v>
      </c>
      <c r="BK24" s="36">
        <v>-6.8233130559013699E-2</v>
      </c>
      <c r="BL24" s="2"/>
      <c r="BM24" s="35" t="s">
        <v>94</v>
      </c>
      <c r="BN24" s="21" t="s">
        <v>94</v>
      </c>
      <c r="BO24" s="25">
        <v>0.126659383291367</v>
      </c>
      <c r="BP24" s="21">
        <v>56.594751590513603</v>
      </c>
      <c r="BQ24" s="25" t="s">
        <v>94</v>
      </c>
      <c r="BR24" s="21" t="s">
        <v>94</v>
      </c>
      <c r="BS24" s="25">
        <v>0.12663328233386401</v>
      </c>
      <c r="BT24" s="32">
        <v>62.778086475268601</v>
      </c>
      <c r="BV24" s="37">
        <f>7064786/1000000</f>
        <v>7.0647859999999998</v>
      </c>
      <c r="BW24" s="1">
        <v>1000</v>
      </c>
      <c r="BX24" s="1">
        <v>750</v>
      </c>
      <c r="BY24" s="21">
        <v>4.3818837124155099</v>
      </c>
      <c r="BZ24" s="21">
        <v>17.178914205607001</v>
      </c>
      <c r="CA24" s="45">
        <v>6.3748734001825998E-6</v>
      </c>
      <c r="CB24" s="45">
        <v>6.1089519763604903E-3</v>
      </c>
      <c r="CC24" s="45">
        <v>1.09104447746125E-4</v>
      </c>
      <c r="CD24" s="45">
        <v>3.1810474092135399E-4</v>
      </c>
      <c r="CE24" s="45">
        <v>1.53260382041573E-4</v>
      </c>
      <c r="CF24" s="45">
        <v>2.0107955991682599E-4</v>
      </c>
      <c r="CG24" s="23"/>
      <c r="CH24" s="21">
        <v>16.7600898742675</v>
      </c>
      <c r="CI24" s="21"/>
      <c r="CJ24" s="38">
        <v>44345</v>
      </c>
      <c r="CL24" s="88">
        <v>0</v>
      </c>
      <c r="CM24" s="1">
        <f>-126.562189617212*2</f>
        <v>-253.124379234424</v>
      </c>
      <c r="CN24" s="20">
        <v>0</v>
      </c>
    </row>
    <row r="25" spans="2:92" s="1" customFormat="1" x14ac:dyDescent="0.25">
      <c r="B25" s="1" t="s">
        <v>159</v>
      </c>
      <c r="C25" s="1" t="s">
        <v>154</v>
      </c>
      <c r="D25" s="20" t="s">
        <v>164</v>
      </c>
      <c r="E25" s="19">
        <v>40</v>
      </c>
      <c r="F25" s="2">
        <v>70</v>
      </c>
      <c r="G25" s="21">
        <v>0</v>
      </c>
      <c r="H25" s="21">
        <v>0</v>
      </c>
      <c r="I25" s="21">
        <v>0</v>
      </c>
      <c r="J25" s="21">
        <v>0</v>
      </c>
      <c r="K25" s="21">
        <f t="shared" si="0"/>
        <v>1.1162221558585421</v>
      </c>
      <c r="L25" s="2">
        <v>0</v>
      </c>
      <c r="M25" s="20">
        <v>11</v>
      </c>
      <c r="N25" s="37">
        <f>54.8688481464397*2</f>
        <v>109.73769629287941</v>
      </c>
      <c r="O25" s="21">
        <v>0</v>
      </c>
      <c r="P25" s="21">
        <f>118.944409416178*2</f>
        <v>237.88881883235601</v>
      </c>
      <c r="Q25" s="23">
        <f t="shared" si="1"/>
        <v>78.235442277180681</v>
      </c>
      <c r="R25" s="23">
        <f t="shared" si="2"/>
        <v>159.65337655517533</v>
      </c>
      <c r="S25" s="25">
        <f t="shared" si="3"/>
        <v>2.1677949042911702</v>
      </c>
      <c r="T25" s="21">
        <v>0</v>
      </c>
      <c r="U25" s="21">
        <f>-10.0129784037799*2</f>
        <v>-20.025956807559801</v>
      </c>
      <c r="V25" s="21">
        <v>0</v>
      </c>
      <c r="W25" s="21">
        <f t="shared" si="12"/>
        <v>50</v>
      </c>
      <c r="X25" s="32">
        <f t="shared" si="5"/>
        <v>32.887397844584882</v>
      </c>
      <c r="Y25" s="35">
        <f t="shared" si="11"/>
        <v>1.4806907916057264</v>
      </c>
      <c r="Z25" s="25">
        <f t="shared" si="15"/>
        <v>0</v>
      </c>
      <c r="AA25" s="25">
        <f t="shared" si="8"/>
        <v>3.2098339528737525</v>
      </c>
      <c r="AB25" s="25">
        <f t="shared" si="13"/>
        <v>0</v>
      </c>
      <c r="AC25" s="25">
        <f t="shared" si="10"/>
        <v>-0.27021024533728855</v>
      </c>
      <c r="AD25" s="34">
        <f t="shared" si="14"/>
        <v>0</v>
      </c>
      <c r="AE25" s="2"/>
      <c r="AF25" s="24" t="s">
        <v>94</v>
      </c>
      <c r="AG25" s="23" t="s">
        <v>94</v>
      </c>
      <c r="AH25" s="23">
        <v>4.7089290662641403</v>
      </c>
      <c r="AI25" s="23">
        <v>37.428537631395699</v>
      </c>
      <c r="AJ25" s="23">
        <f>3.31745922155928*2</f>
        <v>6.6349184431185604</v>
      </c>
      <c r="AK25" s="23">
        <f>22.8767777019109*2</f>
        <v>45.7535554038218</v>
      </c>
      <c r="AL25" s="23">
        <f>22.0870493368339*2</f>
        <v>44.1740986736678</v>
      </c>
      <c r="AM25" s="23">
        <f>36.6635379315815*2</f>
        <v>73.327075863163003</v>
      </c>
      <c r="AN25" s="23" t="s">
        <v>94</v>
      </c>
      <c r="AO25" s="23" t="s">
        <v>94</v>
      </c>
      <c r="AP25" s="23">
        <v>6.9971273904014204</v>
      </c>
      <c r="AQ25" s="23">
        <v>12.707203530791</v>
      </c>
      <c r="AR25" s="23">
        <f>1.19604248344518*2</f>
        <v>2.3920849668903599</v>
      </c>
      <c r="AS25" s="23">
        <f>8.12648083994902*2</f>
        <v>16.252961679898039</v>
      </c>
      <c r="AT25" s="23">
        <f>7.37635188823839*2</f>
        <v>14.75270377647678</v>
      </c>
      <c r="AU25" s="23">
        <f>8.45841865057593*2</f>
        <v>16.916837301151858</v>
      </c>
      <c r="AV25" s="23" t="s">
        <v>94</v>
      </c>
      <c r="AW25" s="23" t="s">
        <v>94</v>
      </c>
      <c r="AX25" s="23">
        <v>3.0090406636212101</v>
      </c>
      <c r="AY25" s="23">
        <v>-1.6440178144700801</v>
      </c>
      <c r="AZ25" s="23" t="s">
        <v>94</v>
      </c>
      <c r="BA25" s="23" t="s">
        <v>94</v>
      </c>
      <c r="BB25" s="23">
        <v>2.8559424593801901</v>
      </c>
      <c r="BC25" s="23">
        <v>-2.28054995246984</v>
      </c>
      <c r="BD25" s="23" t="s">
        <v>94</v>
      </c>
      <c r="BE25" s="23" t="s">
        <v>94</v>
      </c>
      <c r="BF25" s="23">
        <v>1.6718428178811999</v>
      </c>
      <c r="BG25" s="23">
        <v>-0.25492562127223001</v>
      </c>
      <c r="BH25" s="23" t="s">
        <v>94</v>
      </c>
      <c r="BI25" s="23" t="s">
        <v>94</v>
      </c>
      <c r="BJ25" s="23">
        <v>0.47311028959220802</v>
      </c>
      <c r="BK25" s="36">
        <v>-1.6869798694650998E-2</v>
      </c>
      <c r="BL25" s="2"/>
      <c r="BM25" s="35" t="s">
        <v>94</v>
      </c>
      <c r="BN25" s="21" t="s">
        <v>94</v>
      </c>
      <c r="BO25" s="25">
        <v>0.125409429158264</v>
      </c>
      <c r="BP25" s="21">
        <v>54.2002579432583</v>
      </c>
      <c r="BQ25" s="25" t="s">
        <v>94</v>
      </c>
      <c r="BR25" s="21" t="s">
        <v>94</v>
      </c>
      <c r="BS25" s="25">
        <v>0.125415924166701</v>
      </c>
      <c r="BT25" s="32">
        <v>67.543499866767903</v>
      </c>
      <c r="BV25" s="37">
        <f>7041151/1000000</f>
        <v>7.0411510000000002</v>
      </c>
      <c r="BW25" s="1">
        <v>1000</v>
      </c>
      <c r="BX25" s="1">
        <v>750</v>
      </c>
      <c r="BY25" s="21">
        <v>4.5468815479174696</v>
      </c>
      <c r="BZ25" s="21">
        <v>18.335756877601099</v>
      </c>
      <c r="CA25" s="45">
        <v>7.2613291005492301E-6</v>
      </c>
      <c r="CB25" s="45">
        <v>5.0578996308553101E-3</v>
      </c>
      <c r="CC25" s="45">
        <v>1.4353891834802799E-4</v>
      </c>
      <c r="CD25" s="45">
        <v>4.0059507580408199E-4</v>
      </c>
      <c r="CE25" s="45">
        <v>1.9182630976671399E-4</v>
      </c>
      <c r="CF25" s="45">
        <v>2.6312174210151501E-4</v>
      </c>
      <c r="CG25" s="23"/>
      <c r="CH25" s="21">
        <v>17.361049652099599</v>
      </c>
      <c r="CI25" s="21"/>
      <c r="CJ25" s="38">
        <v>44346</v>
      </c>
      <c r="CL25" s="88">
        <v>0</v>
      </c>
      <c r="CM25" s="1">
        <f>-122.933099947485*2</f>
        <v>-245.86619989497001</v>
      </c>
      <c r="CN25" s="20">
        <v>0</v>
      </c>
    </row>
    <row r="26" spans="2:92" s="1" customFormat="1" x14ac:dyDescent="0.25">
      <c r="B26" s="1" t="s">
        <v>160</v>
      </c>
      <c r="C26" s="1" t="s">
        <v>155</v>
      </c>
      <c r="D26" s="20" t="s">
        <v>165</v>
      </c>
      <c r="E26" s="19">
        <v>40</v>
      </c>
      <c r="F26" s="2">
        <v>40</v>
      </c>
      <c r="G26" s="21">
        <v>0</v>
      </c>
      <c r="H26" s="21">
        <v>0.5</v>
      </c>
      <c r="I26" s="21">
        <v>0</v>
      </c>
      <c r="J26" s="21">
        <v>0</v>
      </c>
      <c r="K26" s="21">
        <f t="shared" si="0"/>
        <v>0</v>
      </c>
      <c r="L26" s="2">
        <v>0</v>
      </c>
      <c r="M26" s="20">
        <v>11</v>
      </c>
      <c r="N26" s="37">
        <f>111.079124439418</f>
        <v>111.079124439418</v>
      </c>
      <c r="O26" s="21">
        <v>0.186098568195179</v>
      </c>
      <c r="P26" s="21">
        <v>235.14930246242801</v>
      </c>
      <c r="Q26" s="23">
        <f t="shared" si="1"/>
        <v>71.249262486029977</v>
      </c>
      <c r="R26" s="23">
        <f t="shared" si="2"/>
        <v>163.90003997639803</v>
      </c>
      <c r="S26" s="25">
        <f t="shared" si="3"/>
        <v>2.1169531507306512</v>
      </c>
      <c r="T26" s="21">
        <v>0.183711417816742</v>
      </c>
      <c r="U26" s="21">
        <v>-28.379825016284101</v>
      </c>
      <c r="V26" s="21">
        <v>1.6761219094476301</v>
      </c>
      <c r="W26" s="21">
        <f t="shared" si="12"/>
        <v>50.045187479077669</v>
      </c>
      <c r="X26" s="32">
        <f t="shared" si="5"/>
        <v>30.299584876469766</v>
      </c>
      <c r="Y26" s="35">
        <f t="shared" si="11"/>
        <v>1.4987906822657173</v>
      </c>
      <c r="Z26" s="25">
        <f t="shared" si="15"/>
        <v>2.5110280748211027E-3</v>
      </c>
      <c r="AA26" s="25">
        <f t="shared" si="8"/>
        <v>3.1728696571081527</v>
      </c>
      <c r="AB26" s="25">
        <f t="shared" si="13"/>
        <v>2.4788182535569838E-3</v>
      </c>
      <c r="AC26" s="25">
        <f t="shared" si="10"/>
        <v>-0.3829289933045586</v>
      </c>
      <c r="AD26" s="34">
        <f t="shared" si="14"/>
        <v>2.2615913772273635E-2</v>
      </c>
      <c r="AE26" s="2"/>
      <c r="AF26" s="24">
        <v>4.6240734096868703</v>
      </c>
      <c r="AG26" s="23">
        <v>27.390059365054299</v>
      </c>
      <c r="AH26" s="23">
        <v>4.1869028615356596</v>
      </c>
      <c r="AI26" s="23">
        <v>27.076541473989899</v>
      </c>
      <c r="AJ26" s="23">
        <v>7.5472749553396001</v>
      </c>
      <c r="AK26" s="23">
        <v>54.003535278833503</v>
      </c>
      <c r="AL26" s="23">
        <v>43.019932313003899</v>
      </c>
      <c r="AM26" s="23">
        <v>77.264251876932093</v>
      </c>
      <c r="AN26" s="23">
        <v>6.87357819665091</v>
      </c>
      <c r="AO26" s="23">
        <v>12.3863537926406</v>
      </c>
      <c r="AP26" s="23">
        <v>7.3956395236283603</v>
      </c>
      <c r="AQ26" s="23">
        <v>12.5409830322458</v>
      </c>
      <c r="AR26" s="23">
        <v>2.9014025403285499</v>
      </c>
      <c r="AS26" s="23">
        <v>29.6698334482465</v>
      </c>
      <c r="AT26" s="23">
        <v>14.266700372152</v>
      </c>
      <c r="AU26" s="23">
        <v>8.5875089088375791</v>
      </c>
      <c r="AV26" s="23">
        <v>3.9328512067319901</v>
      </c>
      <c r="AW26" s="23">
        <v>-2.0201212130347002</v>
      </c>
      <c r="AX26" s="23">
        <v>4.0328123018490398</v>
      </c>
      <c r="AY26" s="23">
        <v>-1.84076172020662</v>
      </c>
      <c r="AZ26" s="23">
        <v>2.7890069653188001</v>
      </c>
      <c r="BA26" s="23">
        <v>-1.36864617007574</v>
      </c>
      <c r="BB26" s="23">
        <v>2.1647008957796401</v>
      </c>
      <c r="BC26" s="23">
        <v>-1.5924419079264001</v>
      </c>
      <c r="BD26" s="23">
        <v>1.9084204346185101</v>
      </c>
      <c r="BE26" s="23">
        <v>-0.19397743319643199</v>
      </c>
      <c r="BF26" s="23">
        <v>1.8257599138896601</v>
      </c>
      <c r="BG26" s="23">
        <v>-0.17052343631876399</v>
      </c>
      <c r="BH26" s="23">
        <v>0.51997271810337697</v>
      </c>
      <c r="BI26" s="23">
        <v>6.4666403432807898E-2</v>
      </c>
      <c r="BJ26" s="23">
        <v>0.374024870843642</v>
      </c>
      <c r="BK26" s="36">
        <v>4.0842976705942502E-2</v>
      </c>
      <c r="BL26" s="2"/>
      <c r="BM26" s="35">
        <v>0.12526112221635699</v>
      </c>
      <c r="BN26" s="21">
        <v>56.394857935457502</v>
      </c>
      <c r="BO26" s="25">
        <v>0.125545799830932</v>
      </c>
      <c r="BP26" s="21">
        <v>55.8322762803462</v>
      </c>
      <c r="BQ26" s="25">
        <v>0.12525990368510601</v>
      </c>
      <c r="BR26" s="21">
        <v>67.668947401424106</v>
      </c>
      <c r="BS26" s="25">
        <v>0.12554181575041101</v>
      </c>
      <c r="BT26" s="32">
        <v>66.984758299386797</v>
      </c>
      <c r="BV26" s="37">
        <f>14027447/1000000</f>
        <v>14.027447</v>
      </c>
      <c r="BW26" s="1">
        <v>1000</v>
      </c>
      <c r="BX26" s="1">
        <v>750</v>
      </c>
      <c r="BY26" s="21">
        <v>9.3918689334992091</v>
      </c>
      <c r="BZ26" s="21">
        <v>37.768645488399002</v>
      </c>
      <c r="CA26" s="45">
        <v>1.1852625203606701E-5</v>
      </c>
      <c r="CB26" s="45">
        <v>6.3520433102368301E-3</v>
      </c>
      <c r="CC26" s="45">
        <v>1.5405152687262701E-4</v>
      </c>
      <c r="CD26" s="45">
        <v>5.1223515426878003E-4</v>
      </c>
      <c r="CE26" s="45">
        <v>3.6058853543086301E-4</v>
      </c>
      <c r="CF26" s="45">
        <v>4.3090734621702501E-4</v>
      </c>
      <c r="CG26" s="23"/>
      <c r="CH26" s="21">
        <v>25.288288116455</v>
      </c>
      <c r="CI26" s="21"/>
      <c r="CJ26" s="38">
        <v>44347</v>
      </c>
      <c r="CL26" s="88">
        <v>0.127509650221798</v>
      </c>
      <c r="CM26" s="1">
        <v>-252.406061563653</v>
      </c>
      <c r="CN26" s="20">
        <v>1.5253746252668201</v>
      </c>
    </row>
    <row r="27" spans="2:92" s="1" customFormat="1" x14ac:dyDescent="0.25">
      <c r="B27" s="1" t="s">
        <v>161</v>
      </c>
      <c r="C27" s="1" t="s">
        <v>156</v>
      </c>
      <c r="D27" s="20" t="s">
        <v>166</v>
      </c>
      <c r="E27" s="19">
        <v>40</v>
      </c>
      <c r="F27" s="2">
        <v>40</v>
      </c>
      <c r="G27" s="21">
        <v>0</v>
      </c>
      <c r="H27" s="21">
        <v>1</v>
      </c>
      <c r="I27" s="21">
        <v>0</v>
      </c>
      <c r="J27" s="21">
        <v>0</v>
      </c>
      <c r="K27" s="21">
        <f t="shared" si="0"/>
        <v>0</v>
      </c>
      <c r="L27" s="2">
        <v>0</v>
      </c>
      <c r="M27" s="20">
        <v>11</v>
      </c>
      <c r="N27" s="37">
        <v>111.251696805501</v>
      </c>
      <c r="O27" s="21">
        <v>1.3442370313663099</v>
      </c>
      <c r="P27" s="21">
        <v>224.439971123627</v>
      </c>
      <c r="Q27" s="23">
        <f t="shared" si="1"/>
        <v>59.232970023412093</v>
      </c>
      <c r="R27" s="23">
        <f t="shared" si="2"/>
        <v>165.20700110021491</v>
      </c>
      <c r="S27" s="25">
        <f t="shared" si="3"/>
        <v>2.0174071728183227</v>
      </c>
      <c r="T27" s="21">
        <v>-0.47814228507725798</v>
      </c>
      <c r="U27" s="21">
        <v>-39.0154150500871</v>
      </c>
      <c r="V27" s="21">
        <v>1.1023670127332099</v>
      </c>
      <c r="W27" s="21">
        <f t="shared" si="12"/>
        <v>49.671737813261849</v>
      </c>
      <c r="X27" s="32">
        <f t="shared" si="5"/>
        <v>26.391453236636323</v>
      </c>
      <c r="Y27" s="35">
        <f t="shared" si="11"/>
        <v>1.5011192012885948</v>
      </c>
      <c r="Z27" s="25">
        <f t="shared" si="15"/>
        <v>1.8137790944392777E-2</v>
      </c>
      <c r="AA27" s="25">
        <f t="shared" si="8"/>
        <v>3.0283686439349227</v>
      </c>
      <c r="AB27" s="25">
        <f t="shared" si="13"/>
        <v>-6.4515740944814694E-3</v>
      </c>
      <c r="AC27" s="25">
        <f t="shared" si="10"/>
        <v>-0.52643501501213819</v>
      </c>
      <c r="AD27" s="34">
        <f t="shared" si="14"/>
        <v>1.4874238660593149E-2</v>
      </c>
      <c r="AE27" s="2"/>
      <c r="AF27" s="24">
        <v>4.2557610653896196</v>
      </c>
      <c r="AG27" s="23">
        <v>25.053153090950801</v>
      </c>
      <c r="AH27" s="23">
        <v>4.3067354741523802</v>
      </c>
      <c r="AI27" s="23">
        <v>26.880327242671399</v>
      </c>
      <c r="AJ27" s="23">
        <v>6.8790172741173796</v>
      </c>
      <c r="AK27" s="23">
        <v>46.707796832709803</v>
      </c>
      <c r="AL27" s="23">
        <v>42.804137161447798</v>
      </c>
      <c r="AM27" s="23">
        <v>77.049615865459302</v>
      </c>
      <c r="AN27" s="23">
        <v>6.9851907355907201</v>
      </c>
      <c r="AO27" s="23">
        <v>12.3461847567511</v>
      </c>
      <c r="AP27" s="23">
        <v>7.5776138003036699</v>
      </c>
      <c r="AQ27" s="23">
        <v>13.2527648423115</v>
      </c>
      <c r="AR27" s="23">
        <v>2.8415199769397299</v>
      </c>
      <c r="AS27" s="23">
        <v>28.586364914358899</v>
      </c>
      <c r="AT27" s="23">
        <v>14.2807245153788</v>
      </c>
      <c r="AU27" s="23">
        <v>7.9055372250165403</v>
      </c>
      <c r="AV27" s="23">
        <v>4.1688029642215998</v>
      </c>
      <c r="AW27" s="23">
        <v>-1.98350131427527</v>
      </c>
      <c r="AX27" s="23">
        <v>4.0601225657601496</v>
      </c>
      <c r="AY27" s="23">
        <v>-1.6716769960803199</v>
      </c>
      <c r="AZ27" s="23">
        <v>3.12391610174092</v>
      </c>
      <c r="BA27" s="23">
        <v>-1.69295267633973</v>
      </c>
      <c r="BB27" s="23">
        <v>2.67102351646533</v>
      </c>
      <c r="BC27" s="23">
        <v>-1.40859947455435</v>
      </c>
      <c r="BD27" s="23">
        <v>1.8709419083824801</v>
      </c>
      <c r="BE27" s="23">
        <v>-0.21396416682446501</v>
      </c>
      <c r="BF27" s="23">
        <v>1.73259586803697</v>
      </c>
      <c r="BG27" s="23">
        <v>2.6767884873211099E-2</v>
      </c>
      <c r="BH27" s="23">
        <v>0.42329548866083799</v>
      </c>
      <c r="BI27" s="23">
        <v>6.0091534148236099E-2</v>
      </c>
      <c r="BJ27" s="23">
        <v>0.40997778256710499</v>
      </c>
      <c r="BK27" s="36">
        <v>1.78577668132171E-3</v>
      </c>
      <c r="BL27" s="2"/>
      <c r="BM27" s="35">
        <v>0.12576118007312001</v>
      </c>
      <c r="BN27" s="21">
        <v>56.495264937675998</v>
      </c>
      <c r="BO27" s="25">
        <v>0.123437454448673</v>
      </c>
      <c r="BP27" s="21">
        <v>53.959241793096197</v>
      </c>
      <c r="BQ27" s="25">
        <v>0.12573426208226501</v>
      </c>
      <c r="BR27" s="21">
        <v>65.635980470396404</v>
      </c>
      <c r="BS27" s="25">
        <v>0.123456625789955</v>
      </c>
      <c r="BT27" s="32">
        <v>70.846400912706201</v>
      </c>
      <c r="BV27" s="37">
        <f>14048858/1000000</f>
        <v>14.048857999999999</v>
      </c>
      <c r="BW27" s="1">
        <v>1000</v>
      </c>
      <c r="BX27" s="1">
        <v>750</v>
      </c>
      <c r="BY27" s="21">
        <v>9.1699961458884491</v>
      </c>
      <c r="BZ27" s="21">
        <v>37.105903247612503</v>
      </c>
      <c r="CA27" s="45">
        <v>1.0395599337798699E-5</v>
      </c>
      <c r="CB27" s="45">
        <v>6.1102942776152898E-3</v>
      </c>
      <c r="CC27" s="45">
        <v>1.31857125337026E-4</v>
      </c>
      <c r="CD27" s="45">
        <v>4.1145789790674299E-4</v>
      </c>
      <c r="CE27" s="45">
        <v>2.7621033613936801E-4</v>
      </c>
      <c r="CF27" s="45">
        <v>3.3918351141734902E-4</v>
      </c>
      <c r="CG27" s="23"/>
      <c r="CH27" s="21">
        <v>25.008769989013601</v>
      </c>
      <c r="CI27" s="21"/>
      <c r="CJ27" s="38">
        <v>44348</v>
      </c>
      <c r="CL27" s="88">
        <v>-0.88410186854988404</v>
      </c>
      <c r="CM27" s="1">
        <v>-254.41878169433099</v>
      </c>
      <c r="CN27" s="20">
        <v>1.3481247845242799E-2</v>
      </c>
    </row>
    <row r="28" spans="2:92" s="1" customFormat="1" x14ac:dyDescent="0.25">
      <c r="B28" s="1" t="s">
        <v>162</v>
      </c>
      <c r="C28" s="1" t="s">
        <v>157</v>
      </c>
      <c r="D28" s="20" t="s">
        <v>167</v>
      </c>
      <c r="E28" s="19">
        <v>40</v>
      </c>
      <c r="F28" s="2">
        <v>40</v>
      </c>
      <c r="G28" s="21">
        <v>0</v>
      </c>
      <c r="H28" s="21">
        <v>1.5</v>
      </c>
      <c r="I28" s="21">
        <v>0</v>
      </c>
      <c r="J28" s="21">
        <v>0</v>
      </c>
      <c r="K28" s="21">
        <f t="shared" si="0"/>
        <v>0</v>
      </c>
      <c r="L28" s="2">
        <v>0</v>
      </c>
      <c r="M28" s="20">
        <v>11</v>
      </c>
      <c r="N28" s="37">
        <v>109.204825909642</v>
      </c>
      <c r="O28" s="21">
        <v>2.8424802624038801</v>
      </c>
      <c r="P28" s="21">
        <v>222.88582165219199</v>
      </c>
      <c r="Q28" s="23">
        <f t="shared" si="1"/>
        <v>59.73646657311734</v>
      </c>
      <c r="R28" s="23">
        <f t="shared" si="2"/>
        <v>163.14935507907467</v>
      </c>
      <c r="S28" s="25">
        <f t="shared" si="3"/>
        <v>2.0409887548066021</v>
      </c>
      <c r="T28" s="21">
        <v>-0.96331704585105504</v>
      </c>
      <c r="U28" s="21">
        <v>-37.723718425921298</v>
      </c>
      <c r="V28" s="21">
        <v>1.4875182559700799</v>
      </c>
      <c r="W28" s="21">
        <f t="shared" si="12"/>
        <v>49.318879179336122</v>
      </c>
      <c r="X28" s="32">
        <f t="shared" si="5"/>
        <v>26.801375758362354</v>
      </c>
      <c r="Y28" s="35">
        <f t="shared" si="11"/>
        <v>1.4735007712550781</v>
      </c>
      <c r="Z28" s="25">
        <f t="shared" si="15"/>
        <v>3.8353587618875085E-2</v>
      </c>
      <c r="AA28" s="25">
        <f t="shared" si="8"/>
        <v>3.0073985043304701</v>
      </c>
      <c r="AB28" s="25">
        <f t="shared" si="13"/>
        <v>-1.2998037387094685E-2</v>
      </c>
      <c r="AC28" s="25">
        <f t="shared" si="10"/>
        <v>-0.50900615180868669</v>
      </c>
      <c r="AD28" s="34">
        <f t="shared" si="14"/>
        <v>2.0071084580469956E-2</v>
      </c>
      <c r="AE28" s="2"/>
      <c r="AF28" s="24">
        <v>4.5042855743144603</v>
      </c>
      <c r="AG28" s="23">
        <v>26.673324757455401</v>
      </c>
      <c r="AH28" s="23">
        <v>4.2740754185857099</v>
      </c>
      <c r="AI28" s="23">
        <v>25.963529005464999</v>
      </c>
      <c r="AJ28" s="23">
        <v>6.8440422447811002</v>
      </c>
      <c r="AK28" s="23">
        <v>46.269395365195699</v>
      </c>
      <c r="AL28" s="23">
        <v>42.376561760549301</v>
      </c>
      <c r="AM28" s="23">
        <v>74.689571862557202</v>
      </c>
      <c r="AN28" s="23">
        <v>6.8070887260009201</v>
      </c>
      <c r="AO28" s="23">
        <v>12.5151406450926</v>
      </c>
      <c r="AP28" s="23">
        <v>7.4891221588168699</v>
      </c>
      <c r="AQ28" s="23">
        <v>13.4336585096666</v>
      </c>
      <c r="AR28" s="23">
        <v>2.80405121681369</v>
      </c>
      <c r="AS28" s="23">
        <v>28.113711266281101</v>
      </c>
      <c r="AT28" s="23">
        <v>14.223839321882</v>
      </c>
      <c r="AU28" s="23">
        <v>8.8051061916910403</v>
      </c>
      <c r="AV28" s="23">
        <v>3.9445796367994101</v>
      </c>
      <c r="AW28" s="23">
        <v>-2.1057627787184399</v>
      </c>
      <c r="AX28" s="23">
        <v>3.2870487598681799</v>
      </c>
      <c r="AY28" s="23">
        <v>-1.9352596716163699</v>
      </c>
      <c r="AZ28" s="23">
        <v>3.10227365886771</v>
      </c>
      <c r="BA28" s="23">
        <v>-1.53982938322123</v>
      </c>
      <c r="BB28" s="23">
        <v>2.6011904600773601</v>
      </c>
      <c r="BC28" s="23">
        <v>-1.4099337475598801</v>
      </c>
      <c r="BD28" s="23">
        <v>1.88145915835556</v>
      </c>
      <c r="BE28" s="23">
        <v>-0.258952956065228</v>
      </c>
      <c r="BF28" s="23">
        <v>1.73541603751509</v>
      </c>
      <c r="BG28" s="23">
        <v>-0.146162066744318</v>
      </c>
      <c r="BH28" s="23">
        <v>0.42701432737052097</v>
      </c>
      <c r="BI28" s="23">
        <v>7.2272404180024896E-3</v>
      </c>
      <c r="BJ28" s="23">
        <v>0.31693511980247202</v>
      </c>
      <c r="BK28" s="36">
        <v>-3.6826166559873197E-2</v>
      </c>
      <c r="BL28" s="2"/>
      <c r="BM28" s="35">
        <v>0.12535484328973401</v>
      </c>
      <c r="BN28" s="21">
        <v>55.548897990888101</v>
      </c>
      <c r="BO28" s="25">
        <v>0.124680875762507</v>
      </c>
      <c r="BP28" s="21">
        <v>53.542232073760701</v>
      </c>
      <c r="BQ28" s="25">
        <v>0.12533282295113901</v>
      </c>
      <c r="BR28" s="21">
        <v>67.560752739476698</v>
      </c>
      <c r="BS28" s="25">
        <v>0.124663378574911</v>
      </c>
      <c r="BT28" s="32">
        <v>70.984934989977106</v>
      </c>
      <c r="BV28" s="37">
        <f>14048796/1000000</f>
        <v>14.048795999999999</v>
      </c>
      <c r="BW28" s="1">
        <v>1000</v>
      </c>
      <c r="BX28" s="1">
        <v>750</v>
      </c>
      <c r="BY28" s="21">
        <v>9.2004048357768102</v>
      </c>
      <c r="BZ28" s="21">
        <v>34.448263547997897</v>
      </c>
      <c r="CA28" s="45">
        <v>1.07005644242359E-5</v>
      </c>
      <c r="CB28" s="45">
        <v>6.4104674091142004E-3</v>
      </c>
      <c r="CC28" s="45">
        <v>1.4503153555359E-4</v>
      </c>
      <c r="CD28" s="45">
        <v>4.4408911704863901E-4</v>
      </c>
      <c r="CE28" s="45">
        <v>3.0937544958208702E-4</v>
      </c>
      <c r="CF28" s="45">
        <v>3.4160544554574101E-4</v>
      </c>
      <c r="CG28" s="23"/>
      <c r="CH28" s="21">
        <v>28.427497863769499</v>
      </c>
      <c r="CI28" s="21"/>
      <c r="CJ28" s="38">
        <v>44349</v>
      </c>
      <c r="CL28" s="88">
        <v>-1.82174608509701</v>
      </c>
      <c r="CM28" s="1">
        <v>-251.250006821775</v>
      </c>
      <c r="CN28" s="20">
        <v>-0.815004455787534</v>
      </c>
    </row>
    <row r="29" spans="2:92" s="1" customFormat="1" x14ac:dyDescent="0.25">
      <c r="B29" s="1" t="s">
        <v>163</v>
      </c>
      <c r="C29" s="1" t="s">
        <v>158</v>
      </c>
      <c r="D29" s="20" t="s">
        <v>168</v>
      </c>
      <c r="E29" s="19">
        <v>40</v>
      </c>
      <c r="F29" s="2">
        <v>40</v>
      </c>
      <c r="G29" s="21">
        <v>0</v>
      </c>
      <c r="H29" s="21">
        <v>2</v>
      </c>
      <c r="I29" s="21">
        <v>0</v>
      </c>
      <c r="J29" s="21">
        <v>0</v>
      </c>
      <c r="K29" s="21">
        <f t="shared" si="0"/>
        <v>0</v>
      </c>
      <c r="L29" s="2">
        <v>0</v>
      </c>
      <c r="M29" s="20">
        <v>11</v>
      </c>
      <c r="N29" s="37">
        <v>107.727730392639</v>
      </c>
      <c r="O29" s="21">
        <v>3.7760582218132601</v>
      </c>
      <c r="P29" s="21">
        <v>216.00252737978599</v>
      </c>
      <c r="Q29" s="23">
        <f t="shared" si="1"/>
        <v>58.269101451047675</v>
      </c>
      <c r="R29" s="23">
        <f t="shared" si="2"/>
        <v>157.73342592873831</v>
      </c>
      <c r="S29" s="25">
        <f t="shared" si="3"/>
        <v>2.0050782337334505</v>
      </c>
      <c r="T29" s="21">
        <v>-1.0248880575331401</v>
      </c>
      <c r="U29" s="21">
        <v>-35.405014072957997</v>
      </c>
      <c r="V29" s="21">
        <v>2.3640983488239899</v>
      </c>
      <c r="W29" s="21">
        <f t="shared" si="12"/>
        <v>49.164648030285278</v>
      </c>
      <c r="X29" s="32">
        <f t="shared" si="5"/>
        <v>26.97612021390664</v>
      </c>
      <c r="Y29" s="35">
        <f t="shared" si="11"/>
        <v>1.453570320696765</v>
      </c>
      <c r="Z29" s="25">
        <f t="shared" si="15"/>
        <v>5.0950355497564645E-2</v>
      </c>
      <c r="AA29" s="25">
        <f t="shared" si="8"/>
        <v>2.9145222112300346</v>
      </c>
      <c r="AB29" s="25">
        <f t="shared" si="13"/>
        <v>-1.3828815078875222E-2</v>
      </c>
      <c r="AC29" s="25">
        <f t="shared" si="10"/>
        <v>-0.47771987280091738</v>
      </c>
      <c r="AD29" s="34">
        <f t="shared" si="14"/>
        <v>3.1898780216886351E-2</v>
      </c>
      <c r="AE29" s="2"/>
      <c r="AF29" s="24">
        <v>4.6135025197568504</v>
      </c>
      <c r="AG29" s="23">
        <v>26.880581899650199</v>
      </c>
      <c r="AH29" s="23">
        <v>3.5942747036054601</v>
      </c>
      <c r="AI29" s="23">
        <v>22.332137646833701</v>
      </c>
      <c r="AJ29" s="23">
        <v>6.8739163893661503</v>
      </c>
      <c r="AK29" s="23">
        <v>46.803579479238998</v>
      </c>
      <c r="AL29" s="23">
        <v>41.8217088920807</v>
      </c>
      <c r="AM29" s="23">
        <v>73.902403178529994</v>
      </c>
      <c r="AN29" s="23">
        <v>6.7011959893598503</v>
      </c>
      <c r="AO29" s="23">
        <v>12.286738230638401</v>
      </c>
      <c r="AP29" s="23">
        <v>7.5450936374195097</v>
      </c>
      <c r="AQ29" s="23">
        <v>12.9757900683272</v>
      </c>
      <c r="AR29" s="23">
        <v>2.68569426794086</v>
      </c>
      <c r="AS29" s="23">
        <v>26.469115292872701</v>
      </c>
      <c r="AT29" s="23">
        <v>14.0215025798543</v>
      </c>
      <c r="AU29" s="23">
        <v>7.9644900058212604</v>
      </c>
      <c r="AV29" s="23">
        <v>4.1881623330842199</v>
      </c>
      <c r="AW29" s="23">
        <v>-1.9736292480577</v>
      </c>
      <c r="AX29" s="23">
        <v>3.42529415265615</v>
      </c>
      <c r="AY29" s="23">
        <v>-1.90739582670411</v>
      </c>
      <c r="AZ29" s="23">
        <v>3.0286723350593898</v>
      </c>
      <c r="BA29" s="23">
        <v>-1.6618043392778401</v>
      </c>
      <c r="BB29" s="23">
        <v>2.2997950320517702</v>
      </c>
      <c r="BC29" s="23">
        <v>-1.35725078661284</v>
      </c>
      <c r="BD29" s="23">
        <v>1.8688144631458401</v>
      </c>
      <c r="BE29" s="23">
        <v>-0.37479414857112497</v>
      </c>
      <c r="BF29" s="23">
        <v>1.7416120636330199</v>
      </c>
      <c r="BG29" s="23">
        <v>1.9259255424728999E-3</v>
      </c>
      <c r="BH29" s="23">
        <v>0.50208873805304999</v>
      </c>
      <c r="BI29" s="23">
        <v>-5.6899876578627502E-2</v>
      </c>
      <c r="BJ29" s="23">
        <v>0.267367469425002</v>
      </c>
      <c r="BK29" s="36">
        <v>1.4756924171892701E-2</v>
      </c>
      <c r="BL29" s="2"/>
      <c r="BM29" s="35">
        <v>0.12522281150363401</v>
      </c>
      <c r="BN29" s="21">
        <v>55.423578997232603</v>
      </c>
      <c r="BO29" s="25">
        <v>0.124625760623464</v>
      </c>
      <c r="BP29" s="21">
        <v>52.892299505482299</v>
      </c>
      <c r="BQ29" s="25">
        <v>0.125247330898763</v>
      </c>
      <c r="BR29" s="21">
        <v>67.499274564515801</v>
      </c>
      <c r="BS29" s="25">
        <v>0.12473115036254399</v>
      </c>
      <c r="BT29" s="32">
        <v>70.263728146913294</v>
      </c>
      <c r="BV29" s="37">
        <f>14090384/1000000</f>
        <v>14.090384</v>
      </c>
      <c r="BW29" s="1">
        <v>1000</v>
      </c>
      <c r="BX29" s="1">
        <v>750</v>
      </c>
      <c r="BY29" s="21">
        <v>9.0155671701655304</v>
      </c>
      <c r="BZ29" s="21">
        <v>34.984229289198197</v>
      </c>
      <c r="CA29" s="45">
        <v>1.1136652825973701E-5</v>
      </c>
      <c r="CB29" s="45">
        <v>5.77034316923175E-3</v>
      </c>
      <c r="CC29" s="45">
        <v>1.5399226135564501E-4</v>
      </c>
      <c r="CD29" s="45">
        <v>5.0436066982084205E-4</v>
      </c>
      <c r="CE29" s="45">
        <v>3.1387305744135597E-4</v>
      </c>
      <c r="CF29" s="45">
        <v>3.9634549623808398E-4</v>
      </c>
      <c r="CG29" s="23"/>
      <c r="CH29" s="21">
        <v>24.828868865966701</v>
      </c>
      <c r="CI29" s="21"/>
      <c r="CJ29" s="38">
        <v>44350</v>
      </c>
      <c r="CL29" s="88">
        <v>-2.16525764052074</v>
      </c>
      <c r="CM29" s="1">
        <v>-242.909475930257</v>
      </c>
      <c r="CN29" s="20">
        <v>-0.694659853173626</v>
      </c>
    </row>
    <row r="30" spans="2:92" s="1" customFormat="1" collapsed="1" x14ac:dyDescent="0.25">
      <c r="B30" s="1" t="s">
        <v>170</v>
      </c>
      <c r="C30" s="1" t="s">
        <v>171</v>
      </c>
      <c r="D30" s="20" t="s">
        <v>169</v>
      </c>
      <c r="E30" s="19">
        <v>40</v>
      </c>
      <c r="F30" s="2">
        <v>80</v>
      </c>
      <c r="G30" s="21">
        <v>0</v>
      </c>
      <c r="H30" s="21">
        <v>0</v>
      </c>
      <c r="I30" s="21">
        <v>0</v>
      </c>
      <c r="J30" s="21">
        <v>0</v>
      </c>
      <c r="K30" s="21">
        <f t="shared" si="0"/>
        <v>1.4883694520240416</v>
      </c>
      <c r="L30" s="2">
        <v>0</v>
      </c>
      <c r="M30" s="20">
        <v>11</v>
      </c>
      <c r="N30" s="24">
        <f>56.6583697748708*2</f>
        <v>113.3167395497416</v>
      </c>
      <c r="O30" s="23">
        <v>0</v>
      </c>
      <c r="P30" s="23">
        <f>124.355159134803*2</f>
        <v>248.71031826960601</v>
      </c>
      <c r="Q30" s="23">
        <f t="shared" si="1"/>
        <v>87.413579401413784</v>
      </c>
      <c r="R30" s="23">
        <f t="shared" si="2"/>
        <v>161.29673886819219</v>
      </c>
      <c r="S30" s="25">
        <f t="shared" si="3"/>
        <v>2.1948241650602025</v>
      </c>
      <c r="T30" s="21">
        <v>0</v>
      </c>
      <c r="U30" s="21">
        <f>-6.35500815094155*2</f>
        <v>-12.710016301883099</v>
      </c>
      <c r="V30" s="21">
        <v>0</v>
      </c>
      <c r="W30" s="21">
        <f t="shared" si="12"/>
        <v>50</v>
      </c>
      <c r="X30" s="32">
        <f t="shared" si="5"/>
        <v>35.146744216159163</v>
      </c>
      <c r="Y30" s="35">
        <f t="shared" si="11"/>
        <v>1.5289828240815191</v>
      </c>
      <c r="Z30" s="25">
        <f t="shared" si="15"/>
        <v>0</v>
      </c>
      <c r="AA30" s="25">
        <f t="shared" si="8"/>
        <v>3.3558484502561101</v>
      </c>
      <c r="AB30" s="25">
        <f t="shared" si="13"/>
        <v>0</v>
      </c>
      <c r="AC30" s="25">
        <f t="shared" si="10"/>
        <v>-0.17149625639241825</v>
      </c>
      <c r="AD30" s="34">
        <f t="shared" si="14"/>
        <v>0</v>
      </c>
      <c r="AE30" s="2"/>
      <c r="AF30" s="24" t="s">
        <v>94</v>
      </c>
      <c r="AG30" s="23" t="s">
        <v>94</v>
      </c>
      <c r="AH30" s="23">
        <v>4.9244291123200599</v>
      </c>
      <c r="AI30" s="23">
        <v>38.244670555455301</v>
      </c>
      <c r="AJ30" s="23">
        <f>3.58702543363437*2</f>
        <v>7.1740508672687398</v>
      </c>
      <c r="AK30" s="23">
        <f>25.7497146167684*2</f>
        <v>51.499429233536802</v>
      </c>
      <c r="AL30" s="23">
        <f>22.7582383876066*2</f>
        <v>45.516476775213199</v>
      </c>
      <c r="AM30" s="23">
        <f>37.4203537748926*2</f>
        <v>74.840707549785193</v>
      </c>
      <c r="AN30" s="23" t="s">
        <v>94</v>
      </c>
      <c r="AO30" s="23" t="s">
        <v>94</v>
      </c>
      <c r="AP30" s="23">
        <v>7.26021910834835</v>
      </c>
      <c r="AQ30" s="23">
        <v>12.951161759811701</v>
      </c>
      <c r="AR30" s="23">
        <f>1.22456430877908*2</f>
        <v>2.4491286175581601</v>
      </c>
      <c r="AS30" s="23">
        <f>8.18117074100861*2</f>
        <v>16.362341482017221</v>
      </c>
      <c r="AT30" s="23">
        <f>7.44082578658006*2</f>
        <v>14.88165157316012</v>
      </c>
      <c r="AU30" s="23">
        <f>8.35588476897727*2</f>
        <v>16.711769537954542</v>
      </c>
      <c r="AV30" s="23" t="s">
        <v>94</v>
      </c>
      <c r="AW30" s="23" t="s">
        <v>94</v>
      </c>
      <c r="AX30" s="23">
        <v>3.0284540630728198</v>
      </c>
      <c r="AY30" s="23">
        <v>-1.6674863041739501</v>
      </c>
      <c r="AZ30" s="23" t="s">
        <v>94</v>
      </c>
      <c r="BA30" s="23" t="s">
        <v>94</v>
      </c>
      <c r="BB30" s="23">
        <v>3.2666486840226798</v>
      </c>
      <c r="BC30" s="23">
        <v>-1.9079886786333899</v>
      </c>
      <c r="BD30" s="23" t="s">
        <v>94</v>
      </c>
      <c r="BE30" s="23" t="s">
        <v>94</v>
      </c>
      <c r="BF30" s="23">
        <v>1.5781254323651599</v>
      </c>
      <c r="BG30" s="23">
        <v>-1.6196256201222701E-2</v>
      </c>
      <c r="BH30" s="23" t="s">
        <v>94</v>
      </c>
      <c r="BI30" s="23" t="s">
        <v>94</v>
      </c>
      <c r="BJ30" s="23">
        <v>0.452817445662139</v>
      </c>
      <c r="BK30" s="36">
        <v>-4.1409298130163197E-2</v>
      </c>
      <c r="BL30" s="2"/>
      <c r="BM30" s="35" t="s">
        <v>94</v>
      </c>
      <c r="BN30" s="21" t="s">
        <v>94</v>
      </c>
      <c r="BO30" s="25">
        <v>0.12465585140872699</v>
      </c>
      <c r="BP30" s="21">
        <v>53.337443532881302</v>
      </c>
      <c r="BQ30" s="25" t="s">
        <v>94</v>
      </c>
      <c r="BR30" s="21" t="s">
        <v>94</v>
      </c>
      <c r="BS30" s="25">
        <v>0.124640050863391</v>
      </c>
      <c r="BT30" s="32">
        <v>70.636390515747294</v>
      </c>
      <c r="BV30" s="37">
        <f>7068810/1000000</f>
        <v>7.06881</v>
      </c>
      <c r="BW30" s="1">
        <v>1000</v>
      </c>
      <c r="BX30" s="1">
        <v>750</v>
      </c>
      <c r="BY30" s="21">
        <v>4.9087435441915597</v>
      </c>
      <c r="BZ30" s="21">
        <v>19.869684036398301</v>
      </c>
      <c r="CA30" s="45">
        <v>8.1394877970896197E-6</v>
      </c>
      <c r="CB30" s="45">
        <v>5.6522651199586603E-3</v>
      </c>
      <c r="CC30" s="45">
        <v>1.5749253678462799E-4</v>
      </c>
      <c r="CD30" s="45">
        <v>4.7189319410513401E-4</v>
      </c>
      <c r="CE30" s="45">
        <v>2.3042824425910499E-4</v>
      </c>
      <c r="CF30" s="45">
        <v>3.0871395973695198E-4</v>
      </c>
      <c r="CG30" s="23"/>
      <c r="CH30" s="21">
        <v>16.930324554443299</v>
      </c>
      <c r="CI30" s="21"/>
      <c r="CJ30" s="38">
        <v>44355</v>
      </c>
      <c r="CL30" s="88">
        <v>0</v>
      </c>
      <c r="CM30" s="1">
        <f>-124.198488928508*2</f>
        <v>-248.396977857016</v>
      </c>
      <c r="CN30" s="20">
        <v>0</v>
      </c>
    </row>
    <row r="31" spans="2:92" s="1" customFormat="1" x14ac:dyDescent="0.25">
      <c r="B31" s="1" t="s">
        <v>175</v>
      </c>
      <c r="C31" s="1" t="s">
        <v>172</v>
      </c>
      <c r="D31" s="20" t="s">
        <v>178</v>
      </c>
      <c r="E31" s="19">
        <v>40</v>
      </c>
      <c r="F31" s="2">
        <v>40</v>
      </c>
      <c r="G31" s="21">
        <v>2.4999999999999982</v>
      </c>
      <c r="H31" s="21">
        <v>0</v>
      </c>
      <c r="I31" s="21">
        <v>0</v>
      </c>
      <c r="J31" s="21">
        <v>0</v>
      </c>
      <c r="K31" s="21">
        <f t="shared" si="0"/>
        <v>0</v>
      </c>
      <c r="L31" s="2">
        <v>0</v>
      </c>
      <c r="M31" s="20">
        <v>11</v>
      </c>
      <c r="N31" s="24">
        <v>110.976435805341</v>
      </c>
      <c r="O31" s="23">
        <v>-14.212837104225301</v>
      </c>
      <c r="P31" s="23">
        <v>231.157701057503</v>
      </c>
      <c r="Q31" s="23">
        <f t="shared" si="1"/>
        <v>67.263406397790035</v>
      </c>
      <c r="R31" s="23">
        <f t="shared" si="2"/>
        <v>163.89429465971298</v>
      </c>
      <c r="S31" s="25">
        <f t="shared" si="3"/>
        <v>2.082943999597958</v>
      </c>
      <c r="T31" s="21">
        <v>4.1939262797966901</v>
      </c>
      <c r="U31" s="21">
        <v>-31.635345998125398</v>
      </c>
      <c r="V31" s="21">
        <v>-0.48329083561978697</v>
      </c>
      <c r="W31" s="21">
        <f t="shared" si="12"/>
        <v>53.059312266924977</v>
      </c>
      <c r="X31" s="32">
        <f t="shared" si="5"/>
        <v>29.098492539972753</v>
      </c>
      <c r="Y31" s="35">
        <f t="shared" si="11"/>
        <v>1.4974051044741572</v>
      </c>
      <c r="Z31" s="25">
        <f t="shared" si="15"/>
        <v>-0.19177381823883013</v>
      </c>
      <c r="AA31" s="25">
        <f t="shared" si="8"/>
        <v>3.1190109773317993</v>
      </c>
      <c r="AB31" s="25">
        <f t="shared" si="13"/>
        <v>5.6588649415371083E-2</v>
      </c>
      <c r="AC31" s="25">
        <f t="shared" si="10"/>
        <v>-0.42685573955979617</v>
      </c>
      <c r="AD31" s="34">
        <f t="shared" si="14"/>
        <v>-6.5210434895569156E-3</v>
      </c>
      <c r="AE31" s="2"/>
      <c r="AF31" s="24">
        <v>5.1631424695610697</v>
      </c>
      <c r="AG31" s="23">
        <v>32.400249643216497</v>
      </c>
      <c r="AH31" s="23">
        <v>3.8865378675769802</v>
      </c>
      <c r="AI31" s="23">
        <v>26.2101945450983</v>
      </c>
      <c r="AJ31" s="23">
        <v>7.0093944148706102</v>
      </c>
      <c r="AK31" s="23">
        <v>48.320434508390797</v>
      </c>
      <c r="AL31" s="23">
        <v>41.906588922186302</v>
      </c>
      <c r="AM31" s="23">
        <v>74.949689188974403</v>
      </c>
      <c r="AN31" s="23">
        <v>7.1455499726945897</v>
      </c>
      <c r="AO31" s="23">
        <v>12.8705550211283</v>
      </c>
      <c r="AP31" s="23">
        <v>6.9560947292736097</v>
      </c>
      <c r="AQ31" s="23">
        <v>12.2129132249517</v>
      </c>
      <c r="AR31" s="23">
        <v>2.7789155396246099</v>
      </c>
      <c r="AS31" s="23">
        <v>28.178996301426299</v>
      </c>
      <c r="AT31" s="23">
        <v>14.6358079503608</v>
      </c>
      <c r="AU31" s="23">
        <v>9.4739438981775699</v>
      </c>
      <c r="AV31" s="23">
        <v>3.36694827399571</v>
      </c>
      <c r="AW31" s="23">
        <v>-1.5797091277470701</v>
      </c>
      <c r="AX31" s="23">
        <v>5.2218533517717498</v>
      </c>
      <c r="AY31" s="23">
        <v>-2.1419012571015301</v>
      </c>
      <c r="AZ31" s="23">
        <v>2.85897855663345</v>
      </c>
      <c r="BA31" s="23">
        <v>-1.6561548360595999</v>
      </c>
      <c r="BB31" s="23">
        <v>2.93152666300487</v>
      </c>
      <c r="BC31" s="23">
        <v>-1.3006679532605501</v>
      </c>
      <c r="BD31" s="23">
        <v>1.7677319956087501</v>
      </c>
      <c r="BE31" s="23">
        <v>-0.27967852767513701</v>
      </c>
      <c r="BF31" s="23">
        <v>1.83249530125807</v>
      </c>
      <c r="BG31" s="23">
        <v>3.09069607628095E-2</v>
      </c>
      <c r="BH31" s="23">
        <v>0.48010263066907599</v>
      </c>
      <c r="BI31" s="23">
        <v>-0.144825616191225</v>
      </c>
      <c r="BJ31" s="23">
        <v>0.42829666407463102</v>
      </c>
      <c r="BK31" s="36">
        <v>4.85971890991884E-2</v>
      </c>
      <c r="BL31" s="2"/>
      <c r="BM31" s="35">
        <v>0.125146334746226</v>
      </c>
      <c r="BN31" s="21">
        <v>55.319354918270299</v>
      </c>
      <c r="BO31" s="25">
        <v>0.125974822973866</v>
      </c>
      <c r="BP31" s="21">
        <v>56.697105721433701</v>
      </c>
      <c r="BQ31" s="25">
        <v>0.12518866972839199</v>
      </c>
      <c r="BR31" s="21">
        <v>67.997254641111397</v>
      </c>
      <c r="BS31" s="25">
        <v>0.12598999476396699</v>
      </c>
      <c r="BT31" s="32">
        <v>65.432812045390307</v>
      </c>
      <c r="BV31" s="37">
        <f>13998674/1000000</f>
        <v>13.998673999999999</v>
      </c>
      <c r="BW31" s="1">
        <v>1000</v>
      </c>
      <c r="BX31" s="1">
        <v>750</v>
      </c>
      <c r="BY31" s="21">
        <v>8.6841837912777695</v>
      </c>
      <c r="BZ31" s="21">
        <v>35.010353452800103</v>
      </c>
      <c r="CA31" s="45">
        <v>9.9769885945728902E-6</v>
      </c>
      <c r="CB31" s="45">
        <v>6.4819445022241996E-3</v>
      </c>
      <c r="CC31" s="45">
        <v>1.4714859216990799E-4</v>
      </c>
      <c r="CD31" s="45">
        <v>4.6849823812530401E-4</v>
      </c>
      <c r="CE31" s="45">
        <v>2.88376583490897E-4</v>
      </c>
      <c r="CF31" s="45">
        <v>3.8140034791604499E-4</v>
      </c>
      <c r="CG31" s="23"/>
      <c r="CH31" s="21">
        <v>32.434684753417898</v>
      </c>
      <c r="CI31" s="21"/>
      <c r="CJ31" s="38"/>
      <c r="CL31" s="88">
        <v>8.4862030852727504</v>
      </c>
      <c r="CM31" s="1">
        <v>-252.39721377595799</v>
      </c>
      <c r="CN31" s="20">
        <v>11.029675732286901</v>
      </c>
    </row>
    <row r="32" spans="2:92" s="1" customFormat="1" x14ac:dyDescent="0.25">
      <c r="B32" s="1" t="s">
        <v>176</v>
      </c>
      <c r="C32" s="1" t="s">
        <v>173</v>
      </c>
      <c r="D32" s="20" t="s">
        <v>179</v>
      </c>
      <c r="E32" s="19">
        <v>40</v>
      </c>
      <c r="F32" s="2">
        <v>40</v>
      </c>
      <c r="G32" s="21">
        <v>4.9999999999999964</v>
      </c>
      <c r="H32" s="21">
        <v>0</v>
      </c>
      <c r="I32" s="21">
        <v>0</v>
      </c>
      <c r="J32" s="21">
        <v>0</v>
      </c>
      <c r="K32" s="21">
        <f t="shared" si="0"/>
        <v>0</v>
      </c>
      <c r="L32" s="2">
        <v>0</v>
      </c>
      <c r="M32" s="20">
        <v>11</v>
      </c>
      <c r="N32" s="24">
        <v>111.00664594033501</v>
      </c>
      <c r="O32" s="23">
        <v>-30.850591873815599</v>
      </c>
      <c r="P32" s="23">
        <v>226.769662840649</v>
      </c>
      <c r="Q32" s="23">
        <f t="shared" si="1"/>
        <v>64.812444760905507</v>
      </c>
      <c r="R32" s="23">
        <f t="shared" si="2"/>
        <v>161.95721807974351</v>
      </c>
      <c r="S32" s="25">
        <f t="shared" si="3"/>
        <v>2.042847623398472</v>
      </c>
      <c r="T32" s="21">
        <v>3.8708485759950602</v>
      </c>
      <c r="U32" s="21">
        <v>-32.197611081384998</v>
      </c>
      <c r="V32" s="21">
        <v>3.3181317023789597E-2</v>
      </c>
      <c r="W32" s="21">
        <f t="shared" si="12"/>
        <v>54.846227061669182</v>
      </c>
      <c r="X32" s="32">
        <f t="shared" si="5"/>
        <v>28.580738688335572</v>
      </c>
      <c r="Y32" s="35">
        <f t="shared" si="11"/>
        <v>1.4978127298409174</v>
      </c>
      <c r="Z32" s="25">
        <f t="shared" si="15"/>
        <v>-0.41626705176340828</v>
      </c>
      <c r="AA32" s="25">
        <f t="shared" si="8"/>
        <v>3.0598031754514956</v>
      </c>
      <c r="AB32" s="25">
        <f t="shared" si="13"/>
        <v>5.2229361794502403E-2</v>
      </c>
      <c r="AC32" s="25">
        <f t="shared" si="10"/>
        <v>-0.43444238261271706</v>
      </c>
      <c r="AD32" s="34">
        <f t="shared" si="14"/>
        <v>4.4771552739132522E-4</v>
      </c>
      <c r="AE32" s="2"/>
      <c r="AF32" s="24">
        <v>5.3003737245866498</v>
      </c>
      <c r="AG32" s="23">
        <v>39.272111154031101</v>
      </c>
      <c r="AH32" s="23">
        <v>3.4212549801579901</v>
      </c>
      <c r="AI32" s="23">
        <v>22.181723689277</v>
      </c>
      <c r="AJ32" s="23">
        <v>6.8249973567110001</v>
      </c>
      <c r="AK32" s="23">
        <v>46.770831747698402</v>
      </c>
      <c r="AL32" s="23">
        <v>42.427030514543397</v>
      </c>
      <c r="AM32" s="23">
        <v>73.823008254752395</v>
      </c>
      <c r="AN32" s="23">
        <v>7.0329150073685698</v>
      </c>
      <c r="AO32" s="23">
        <v>11.8259942293672</v>
      </c>
      <c r="AP32" s="23">
        <v>7.4285649797676498</v>
      </c>
      <c r="AQ32" s="23">
        <v>12.573608911978001</v>
      </c>
      <c r="AR32" s="23">
        <v>2.4568632338909699</v>
      </c>
      <c r="AS32" s="23">
        <v>24.656673145327598</v>
      </c>
      <c r="AT32" s="23">
        <v>14.3846426484311</v>
      </c>
      <c r="AU32" s="23">
        <v>8.6489874115073899</v>
      </c>
      <c r="AV32" s="23">
        <v>3.0266864026043399</v>
      </c>
      <c r="AW32" s="23">
        <v>-1.26098044125867</v>
      </c>
      <c r="AX32" s="23">
        <v>5.8463922345794197</v>
      </c>
      <c r="AY32" s="23">
        <v>-1.8429591192474799</v>
      </c>
      <c r="AZ32" s="23">
        <v>3.3171597327820002</v>
      </c>
      <c r="BA32" s="23">
        <v>-1.3826920665185001</v>
      </c>
      <c r="BB32" s="23">
        <v>2.6693408075888301</v>
      </c>
      <c r="BC32" s="23">
        <v>-1.2000214359922801</v>
      </c>
      <c r="BD32" s="23">
        <v>1.6803857053544999</v>
      </c>
      <c r="BE32" s="23">
        <v>-0.20546716742075699</v>
      </c>
      <c r="BF32" s="23">
        <v>1.84560484121378</v>
      </c>
      <c r="BG32" s="23">
        <v>-0.20381331455644899</v>
      </c>
      <c r="BH32" s="23">
        <v>0.61260062347995103</v>
      </c>
      <c r="BI32" s="23">
        <v>-6.8312904098121394E-2</v>
      </c>
      <c r="BJ32" s="23">
        <v>0.43404603926255703</v>
      </c>
      <c r="BK32" s="36">
        <v>-0.100632182886242</v>
      </c>
      <c r="BL32" s="2"/>
      <c r="BM32" s="35">
        <v>0.124731798836175</v>
      </c>
      <c r="BN32" s="21">
        <v>55.308207065903098</v>
      </c>
      <c r="BO32" s="25">
        <v>0.12364446544728799</v>
      </c>
      <c r="BP32" s="21">
        <v>56.562630967749598</v>
      </c>
      <c r="BQ32" s="25">
        <v>0.12474125938655101</v>
      </c>
      <c r="BR32" s="21">
        <v>69.468988644290306</v>
      </c>
      <c r="BS32" s="25">
        <v>0.123656147424849</v>
      </c>
      <c r="BT32" s="32">
        <v>69.371835832102207</v>
      </c>
      <c r="BV32" s="37">
        <f>13977352/1000000</f>
        <v>13.977352</v>
      </c>
      <c r="BW32" s="1">
        <v>1000</v>
      </c>
      <c r="BX32" s="1">
        <v>750</v>
      </c>
      <c r="BY32" s="21">
        <v>10.130833164166599</v>
      </c>
      <c r="BZ32" s="21">
        <v>41.682241140399903</v>
      </c>
      <c r="CA32" s="45">
        <v>9.6700855010137996E-6</v>
      </c>
      <c r="CB32" s="45">
        <v>5.20447425119495E-3</v>
      </c>
      <c r="CC32" s="45">
        <v>1.5022534289749499E-4</v>
      </c>
      <c r="CD32" s="45">
        <v>4.7279351419294901E-4</v>
      </c>
      <c r="CE32" s="45">
        <v>3.1377188394806201E-4</v>
      </c>
      <c r="CF32" s="45">
        <v>3.53150641845745E-4</v>
      </c>
      <c r="CG32" s="23"/>
      <c r="CH32" s="21">
        <v>13.8420867919921</v>
      </c>
      <c r="CI32" s="21"/>
      <c r="CJ32" s="38"/>
      <c r="CL32" s="88">
        <v>13.187727321887399</v>
      </c>
      <c r="CM32" s="1">
        <v>-249.41411584280499</v>
      </c>
      <c r="CN32" s="20">
        <v>25.023394758489399</v>
      </c>
    </row>
    <row r="33" spans="2:92" s="1" customFormat="1" x14ac:dyDescent="0.25">
      <c r="B33" s="1" t="s">
        <v>177</v>
      </c>
      <c r="C33" s="1" t="s">
        <v>174</v>
      </c>
      <c r="D33" s="20" t="s">
        <v>180</v>
      </c>
      <c r="E33" s="19">
        <v>40</v>
      </c>
      <c r="F33" s="2">
        <v>40</v>
      </c>
      <c r="G33" s="21">
        <v>7.49999999999996</v>
      </c>
      <c r="H33" s="21">
        <v>0</v>
      </c>
      <c r="I33" s="21">
        <v>0</v>
      </c>
      <c r="J33" s="21">
        <v>0</v>
      </c>
      <c r="K33" s="21">
        <f t="shared" si="0"/>
        <v>0</v>
      </c>
      <c r="L33" s="2">
        <v>0</v>
      </c>
      <c r="M33" s="20">
        <v>11</v>
      </c>
      <c r="N33" s="24">
        <v>107.24261182731399</v>
      </c>
      <c r="O33" s="23">
        <v>-38.422163922821099</v>
      </c>
      <c r="P33" s="23">
        <v>217.117809641713</v>
      </c>
      <c r="Q33" s="23">
        <f t="shared" si="1"/>
        <v>61.825123551942198</v>
      </c>
      <c r="R33" s="23">
        <f t="shared" si="2"/>
        <v>155.2926860897708</v>
      </c>
      <c r="S33" s="25">
        <f t="shared" si="3"/>
        <v>2.0245479473338834</v>
      </c>
      <c r="T33" s="21">
        <v>6.1934781215492398</v>
      </c>
      <c r="U33" s="21">
        <v>-30.889357284225198</v>
      </c>
      <c r="V33" s="21">
        <v>-3.0477884919099401</v>
      </c>
      <c r="W33" s="21">
        <f t="shared" si="12"/>
        <v>56.830766077185501</v>
      </c>
      <c r="X33" s="32">
        <f t="shared" si="5"/>
        <v>28.475381017322249</v>
      </c>
      <c r="Y33" s="35">
        <f t="shared" si="11"/>
        <v>1.4470246156493707</v>
      </c>
      <c r="Z33" s="25">
        <f t="shared" si="15"/>
        <v>-0.51843027725176039</v>
      </c>
      <c r="AA33" s="25">
        <f t="shared" si="8"/>
        <v>2.9295707153545347</v>
      </c>
      <c r="AB33" s="25">
        <f t="shared" si="13"/>
        <v>8.3568603427886509E-2</v>
      </c>
      <c r="AC33" s="25">
        <f t="shared" si="10"/>
        <v>-0.41679011346567979</v>
      </c>
      <c r="AD33" s="34">
        <f t="shared" si="14"/>
        <v>-4.112381166348375E-2</v>
      </c>
      <c r="AE33" s="2"/>
      <c r="AF33" s="24">
        <v>4.9857510547327797</v>
      </c>
      <c r="AG33" s="23">
        <v>35.888402061138201</v>
      </c>
      <c r="AH33" s="23">
        <v>3.4051195739923199</v>
      </c>
      <c r="AI33" s="23">
        <v>22.8443715589971</v>
      </c>
      <c r="AJ33" s="23">
        <v>6.6227125502840503</v>
      </c>
      <c r="AK33" s="23">
        <v>45.295340785313698</v>
      </c>
      <c r="AL33" s="23">
        <v>40.5023431673064</v>
      </c>
      <c r="AM33" s="23">
        <v>67.801435171820103</v>
      </c>
      <c r="AN33" s="23">
        <v>7.3555466186479697</v>
      </c>
      <c r="AO33" s="23">
        <v>11.6227802972401</v>
      </c>
      <c r="AP33" s="23">
        <v>7.22429081095936</v>
      </c>
      <c r="AQ33" s="23">
        <v>12.4926475183211</v>
      </c>
      <c r="AR33" s="23">
        <v>2.72115336097781</v>
      </c>
      <c r="AS33" s="23">
        <v>26.329640741032701</v>
      </c>
      <c r="AT33" s="23">
        <v>13.9986804593328</v>
      </c>
      <c r="AU33" s="23">
        <v>8.4264438670352906</v>
      </c>
      <c r="AV33" s="23">
        <v>2.7572900507208602</v>
      </c>
      <c r="AW33" s="23">
        <v>-1.47060968999393</v>
      </c>
      <c r="AX33" s="23">
        <v>5.7391294436787996</v>
      </c>
      <c r="AY33" s="23">
        <v>-2.57015864998771</v>
      </c>
      <c r="AZ33" s="23">
        <v>3.20759357884645</v>
      </c>
      <c r="BA33" s="23">
        <v>-1.2848660856051499</v>
      </c>
      <c r="BB33" s="23">
        <v>2.5139750220630899</v>
      </c>
      <c r="BC33" s="23">
        <v>-1.4360827660528399</v>
      </c>
      <c r="BD33" s="23">
        <v>1.5988063906255601</v>
      </c>
      <c r="BE33" s="23">
        <v>-0.29753482260673603</v>
      </c>
      <c r="BF33" s="23">
        <v>1.7880411726544101</v>
      </c>
      <c r="BG33" s="23">
        <v>-0.30997456347031099</v>
      </c>
      <c r="BH33" s="23">
        <v>0.43069682988096702</v>
      </c>
      <c r="BI33" s="23">
        <v>-4.3202605494702499E-3</v>
      </c>
      <c r="BJ33" s="23">
        <v>0.33735164631344999</v>
      </c>
      <c r="BK33" s="36">
        <v>-0.119073817326467</v>
      </c>
      <c r="BL33" s="2"/>
      <c r="BM33" s="35">
        <v>0.124579409217418</v>
      </c>
      <c r="BN33" s="21">
        <v>54.545011202553901</v>
      </c>
      <c r="BO33" s="25">
        <v>0.125888395918476</v>
      </c>
      <c r="BP33" s="21">
        <v>56.308442766900399</v>
      </c>
      <c r="BQ33" s="25">
        <v>0.124636831295413</v>
      </c>
      <c r="BR33" s="21">
        <v>69.485001149634996</v>
      </c>
      <c r="BS33" s="25">
        <v>0.12592536437676399</v>
      </c>
      <c r="BT33" s="32">
        <v>65.4577147901866</v>
      </c>
      <c r="BV33" s="37">
        <f>13947375/1000000</f>
        <v>13.947374999999999</v>
      </c>
      <c r="BW33" s="1">
        <v>1000</v>
      </c>
      <c r="BX33" s="1">
        <v>750</v>
      </c>
      <c r="BY33" s="21">
        <v>9.2341425675833797</v>
      </c>
      <c r="BZ33" s="21">
        <v>37.428822230400002</v>
      </c>
      <c r="CA33" s="45">
        <v>1.00590342173752E-5</v>
      </c>
      <c r="CB33" s="45">
        <v>5.3030105458093503E-3</v>
      </c>
      <c r="CC33" s="45">
        <v>1.3944790247961701E-4</v>
      </c>
      <c r="CD33" s="45">
        <v>4.7001264192430799E-4</v>
      </c>
      <c r="CE33" s="45">
        <v>3.69293871282001E-4</v>
      </c>
      <c r="CF33" s="45">
        <v>3.52250837845649E-4</v>
      </c>
      <c r="CG33" s="23"/>
      <c r="CH33" s="21">
        <v>27.756721496581999</v>
      </c>
      <c r="CI33" s="21"/>
      <c r="CJ33" s="38"/>
      <c r="CL33" s="88">
        <v>17.796971626241199</v>
      </c>
      <c r="CM33" s="1">
        <v>-239.15073657824701</v>
      </c>
      <c r="CN33" s="20">
        <v>28.075701172132</v>
      </c>
    </row>
    <row r="34" spans="2:92" s="1" customFormat="1" x14ac:dyDescent="0.25">
      <c r="B34" s="1" t="s">
        <v>197</v>
      </c>
      <c r="C34" s="1" t="s">
        <v>181</v>
      </c>
      <c r="D34" s="20" t="s">
        <v>194</v>
      </c>
      <c r="E34" s="19">
        <v>40</v>
      </c>
      <c r="F34" s="2">
        <v>40</v>
      </c>
      <c r="G34" s="21">
        <v>9.9999999999999449</v>
      </c>
      <c r="H34" s="21">
        <v>0</v>
      </c>
      <c r="I34" s="21">
        <v>0</v>
      </c>
      <c r="J34" s="21">
        <v>0</v>
      </c>
      <c r="K34" s="21">
        <f t="shared" si="0"/>
        <v>0</v>
      </c>
      <c r="L34" s="2">
        <v>0</v>
      </c>
      <c r="M34" s="20">
        <v>11</v>
      </c>
      <c r="N34" s="24">
        <v>102.551205305941</v>
      </c>
      <c r="O34" s="23">
        <v>-48.2301261788825</v>
      </c>
      <c r="P34" s="23">
        <v>209.58686243357599</v>
      </c>
      <c r="Q34" s="23">
        <f t="shared" si="1"/>
        <v>63.094610390575347</v>
      </c>
      <c r="R34" s="23">
        <f t="shared" si="2"/>
        <v>146.49225204300066</v>
      </c>
      <c r="S34" s="25">
        <f t="shared" si="3"/>
        <v>2.0437289040954276</v>
      </c>
      <c r="T34" s="21">
        <v>6.3604842007560896</v>
      </c>
      <c r="U34" s="21">
        <v>-24.853862098132701</v>
      </c>
      <c r="V34" s="21">
        <v>-4.9507399142837603</v>
      </c>
      <c r="W34" s="21">
        <f t="shared" si="12"/>
        <v>58.320329998980192</v>
      </c>
      <c r="X34" s="32">
        <f t="shared" si="5"/>
        <v>30.104277366417378</v>
      </c>
      <c r="Y34" s="35">
        <f t="shared" si="11"/>
        <v>1.3837234650826915</v>
      </c>
      <c r="Z34" s="25">
        <f t="shared" si="15"/>
        <v>-0.65076911693550332</v>
      </c>
      <c r="AA34" s="25">
        <f t="shared" si="8"/>
        <v>2.8279556408645767</v>
      </c>
      <c r="AB34" s="25">
        <f t="shared" si="13"/>
        <v>8.5822016539127521E-2</v>
      </c>
      <c r="AC34" s="25">
        <f t="shared" si="10"/>
        <v>-0.33535317386584851</v>
      </c>
      <c r="AD34" s="34">
        <f t="shared" si="14"/>
        <v>-6.6800336168443372E-2</v>
      </c>
      <c r="AE34" s="2"/>
      <c r="AF34" s="24">
        <v>4.89099591576786</v>
      </c>
      <c r="AG34" s="23">
        <v>37.7663327027729</v>
      </c>
      <c r="AH34" s="23">
        <v>3.2131246021996498</v>
      </c>
      <c r="AI34" s="23">
        <v>21.6573571223085</v>
      </c>
      <c r="AJ34" s="23">
        <v>6.4915691226633401</v>
      </c>
      <c r="AK34" s="23">
        <v>44.928990539179203</v>
      </c>
      <c r="AL34" s="23">
        <v>37.587778847664097</v>
      </c>
      <c r="AM34" s="23">
        <v>60.295753194419298</v>
      </c>
      <c r="AN34" s="23">
        <v>7.1926170533761198</v>
      </c>
      <c r="AO34" s="23">
        <v>11.1276881049831</v>
      </c>
      <c r="AP34" s="23">
        <v>7.46734321295102</v>
      </c>
      <c r="AQ34" s="23">
        <v>12.587680677810599</v>
      </c>
      <c r="AR34" s="23">
        <v>2.81380394814208</v>
      </c>
      <c r="AS34" s="23">
        <v>27.065387509111702</v>
      </c>
      <c r="AT34" s="23">
        <v>13.172319671042899</v>
      </c>
      <c r="AU34" s="23">
        <v>8.2604617440277295</v>
      </c>
      <c r="AV34" s="23">
        <v>2.5797692567811299</v>
      </c>
      <c r="AW34" s="23">
        <v>-1.6410065440510599</v>
      </c>
      <c r="AX34" s="23">
        <v>5.9553390405066402</v>
      </c>
      <c r="AY34" s="23">
        <v>-2.8405956978040399</v>
      </c>
      <c r="AZ34" s="23">
        <v>3.4440858857116101</v>
      </c>
      <c r="BA34" s="23">
        <v>-1.4166134615805199</v>
      </c>
      <c r="BB34" s="23">
        <v>2.67179309794221</v>
      </c>
      <c r="BC34" s="23">
        <v>-1.3963139859954601</v>
      </c>
      <c r="BD34" s="23">
        <v>1.64999472833779</v>
      </c>
      <c r="BE34" s="23">
        <v>-0.189794744334639</v>
      </c>
      <c r="BF34" s="23">
        <v>1.7641144284329799</v>
      </c>
      <c r="BG34" s="23">
        <v>-0.14192948010027401</v>
      </c>
      <c r="BH34" s="23">
        <v>0.362432421541379</v>
      </c>
      <c r="BI34" s="23">
        <v>2.6321942518331001E-2</v>
      </c>
      <c r="BJ34" s="23">
        <v>0.13804776649433001</v>
      </c>
      <c r="BK34" s="36">
        <v>-1.81626616977257E-2</v>
      </c>
      <c r="BL34" s="2"/>
      <c r="BM34" s="35">
        <v>0.12455315751998</v>
      </c>
      <c r="BN34" s="21">
        <v>55.542489387770097</v>
      </c>
      <c r="BO34" s="25">
        <v>0.125005989257058</v>
      </c>
      <c r="BP34" s="21">
        <v>56.497242219863899</v>
      </c>
      <c r="BQ34" s="25">
        <v>0.124576565443662</v>
      </c>
      <c r="BR34" s="21">
        <v>70.094220784539203</v>
      </c>
      <c r="BS34" s="25">
        <v>0.12503436960120301</v>
      </c>
      <c r="BT34" s="32">
        <v>69.111315046494695</v>
      </c>
      <c r="BV34" s="37">
        <f>14078992/1000000</f>
        <v>14.078992</v>
      </c>
      <c r="BW34" s="1">
        <v>1000</v>
      </c>
      <c r="BX34" s="1">
        <v>750</v>
      </c>
      <c r="BY34" s="21">
        <v>10.1946277775276</v>
      </c>
      <c r="BZ34" s="21">
        <v>38.624835104000702</v>
      </c>
      <c r="CA34" s="45">
        <v>8.4283232716264102E-6</v>
      </c>
      <c r="CB34" s="45">
        <v>5.0978348082421398E-3</v>
      </c>
      <c r="CC34" s="45">
        <v>1.3083883031224499E-4</v>
      </c>
      <c r="CD34" s="45">
        <v>4.188214100655E-4</v>
      </c>
      <c r="CE34" s="45">
        <v>2.9321293011868899E-4</v>
      </c>
      <c r="CF34" s="45">
        <v>2.8402531759873001E-4</v>
      </c>
      <c r="CG34" s="23"/>
      <c r="CH34" s="21">
        <v>24.5780639648437</v>
      </c>
      <c r="CI34" s="21"/>
      <c r="CJ34" s="38"/>
      <c r="CL34" s="88">
        <v>20.9259823067786</v>
      </c>
      <c r="CM34" s="1">
        <v>-225.59806814622101</v>
      </c>
      <c r="CN34" s="20">
        <v>34.117591495658303</v>
      </c>
    </row>
    <row r="35" spans="2:92" s="1" customFormat="1" x14ac:dyDescent="0.25">
      <c r="B35" s="1" t="s">
        <v>198</v>
      </c>
      <c r="C35" s="1" t="s">
        <v>182</v>
      </c>
      <c r="D35" s="20" t="s">
        <v>195</v>
      </c>
      <c r="E35" s="19">
        <v>40</v>
      </c>
      <c r="F35" s="2">
        <v>40</v>
      </c>
      <c r="G35" s="21">
        <v>12.499999999999989</v>
      </c>
      <c r="H35" s="21">
        <v>0</v>
      </c>
      <c r="I35" s="21">
        <v>0</v>
      </c>
      <c r="J35" s="21">
        <v>0</v>
      </c>
      <c r="K35" s="21">
        <f t="shared" si="0"/>
        <v>0</v>
      </c>
      <c r="L35" s="2">
        <v>0</v>
      </c>
      <c r="M35" s="20">
        <v>11</v>
      </c>
      <c r="N35" s="24">
        <v>99.8420317581473</v>
      </c>
      <c r="O35" s="23">
        <v>-58.422174278942798</v>
      </c>
      <c r="P35" s="23">
        <v>199.600782954859</v>
      </c>
      <c r="Q35" s="23">
        <f t="shared" si="1"/>
        <v>60.772629074638225</v>
      </c>
      <c r="R35" s="23">
        <f t="shared" si="2"/>
        <v>138.82815388022078</v>
      </c>
      <c r="S35" s="25">
        <f t="shared" si="3"/>
        <v>1.9991658767357887</v>
      </c>
      <c r="T35" s="21">
        <v>9.6145143738100192</v>
      </c>
      <c r="U35" s="21">
        <v>-21.958445159825398</v>
      </c>
      <c r="V35" s="21">
        <v>-6.8924831995415499</v>
      </c>
      <c r="W35" s="21">
        <f t="shared" si="12"/>
        <v>61.380220475811484</v>
      </c>
      <c r="X35" s="32">
        <f t="shared" si="5"/>
        <v>30.447089522881456</v>
      </c>
      <c r="Y35" s="35">
        <f t="shared" si="11"/>
        <v>1.3471685850315032</v>
      </c>
      <c r="Z35" s="25">
        <f t="shared" si="15"/>
        <v>-0.78829042710666608</v>
      </c>
      <c r="AA35" s="25">
        <f t="shared" si="8"/>
        <v>2.693213465405417</v>
      </c>
      <c r="AB35" s="25">
        <f t="shared" si="13"/>
        <v>0.12972864731064285</v>
      </c>
      <c r="AC35" s="25">
        <f t="shared" si="10"/>
        <v>-0.29628531165222322</v>
      </c>
      <c r="AD35" s="34">
        <f t="shared" si="14"/>
        <v>-9.3000279298924599E-2</v>
      </c>
      <c r="AE35" s="2"/>
      <c r="AF35" s="24">
        <v>4.1389844046522501</v>
      </c>
      <c r="AG35" s="23">
        <v>34.901630114418303</v>
      </c>
      <c r="AH35" s="23">
        <v>3.6447432743086998</v>
      </c>
      <c r="AI35" s="23">
        <v>23.908604097145599</v>
      </c>
      <c r="AJ35" s="23">
        <v>6.2551622106181597</v>
      </c>
      <c r="AK35" s="23">
        <v>42.909497780656601</v>
      </c>
      <c r="AL35" s="23">
        <v>35.528348227051602</v>
      </c>
      <c r="AM35" s="23">
        <v>56.252806439103303</v>
      </c>
      <c r="AN35" s="23">
        <v>6.8240848947993298</v>
      </c>
      <c r="AO35" s="23">
        <v>10.423660582429401</v>
      </c>
      <c r="AP35" s="23">
        <v>7.4103115326572402</v>
      </c>
      <c r="AQ35" s="23">
        <v>13.182155492400501</v>
      </c>
      <c r="AR35" s="23">
        <v>2.5825946595738398</v>
      </c>
      <c r="AS35" s="23">
        <v>24.701860002672799</v>
      </c>
      <c r="AT35" s="23">
        <v>13.316036367253201</v>
      </c>
      <c r="AU35" s="23">
        <v>7.1533529436603898</v>
      </c>
      <c r="AV35" s="23">
        <v>2.5185574545826102</v>
      </c>
      <c r="AW35" s="23">
        <v>-1.6854489605774099</v>
      </c>
      <c r="AX35" s="23">
        <v>6.1906972207556796</v>
      </c>
      <c r="AY35" s="23">
        <v>-2.92788512333872</v>
      </c>
      <c r="AZ35" s="23">
        <v>3.7275781444834299</v>
      </c>
      <c r="BA35" s="23">
        <v>-1.0932690775998699</v>
      </c>
      <c r="BB35" s="23">
        <v>2.4371711470739701</v>
      </c>
      <c r="BC35" s="23">
        <v>-1.2869322443228901</v>
      </c>
      <c r="BD35" s="23">
        <v>1.6389966836702501</v>
      </c>
      <c r="BE35" s="23">
        <v>-0.100278737868554</v>
      </c>
      <c r="BF35" s="23">
        <v>1.82721240550339</v>
      </c>
      <c r="BG35" s="23">
        <v>-0.120353099279962</v>
      </c>
      <c r="BH35" s="23">
        <v>0.30320159548020598</v>
      </c>
      <c r="BI35" s="23">
        <v>-0.115021795687985</v>
      </c>
      <c r="BJ35" s="23">
        <v>0.157648629156252</v>
      </c>
      <c r="BK35" s="36">
        <v>-3.6799986616816799E-2</v>
      </c>
      <c r="BL35" s="2"/>
      <c r="BM35" s="35">
        <v>0.12512210258512799</v>
      </c>
      <c r="BN35" s="21">
        <v>58.093873627278001</v>
      </c>
      <c r="BO35" s="25">
        <v>0.12427764343629299</v>
      </c>
      <c r="BP35" s="21">
        <v>54.572241811045799</v>
      </c>
      <c r="BQ35" s="25">
        <v>0.12514166075205199</v>
      </c>
      <c r="BR35" s="21">
        <v>67.523756062955201</v>
      </c>
      <c r="BS35" s="25">
        <v>0.124276312052717</v>
      </c>
      <c r="BT35" s="32">
        <v>72.571887909124598</v>
      </c>
      <c r="BV35" s="37">
        <f>14024080/1000000</f>
        <v>14.02408</v>
      </c>
      <c r="BW35" s="1">
        <v>1000</v>
      </c>
      <c r="BX35" s="1">
        <v>750</v>
      </c>
      <c r="BY35" s="21">
        <v>9.4433626971665507</v>
      </c>
      <c r="BZ35" s="21">
        <v>36.770476269999101</v>
      </c>
      <c r="CA35" s="45">
        <v>7.7673143534225602E-6</v>
      </c>
      <c r="CB35" s="45">
        <v>5.3727804939334199E-3</v>
      </c>
      <c r="CC35" s="45">
        <v>1.2572345821745701E-4</v>
      </c>
      <c r="CD35" s="45">
        <v>3.7320299759341E-4</v>
      </c>
      <c r="CE35" s="45">
        <v>2.91468289890125E-4</v>
      </c>
      <c r="CF35" s="45">
        <v>2.5808421345311202E-4</v>
      </c>
      <c r="CG35" s="23"/>
      <c r="CH35" s="21">
        <v>34.9744453430175</v>
      </c>
      <c r="CI35" s="21"/>
      <c r="CJ35" s="38"/>
      <c r="CL35" s="88">
        <v>27.258011006050701</v>
      </c>
      <c r="CM35" s="1">
        <v>-213.79535697553999</v>
      </c>
      <c r="CN35" s="20">
        <v>40.431814853373297</v>
      </c>
    </row>
    <row r="36" spans="2:92" s="1" customFormat="1" x14ac:dyDescent="0.25">
      <c r="B36" s="1" t="s">
        <v>199</v>
      </c>
      <c r="C36" s="1" t="s">
        <v>183</v>
      </c>
      <c r="D36" s="20" t="s">
        <v>196</v>
      </c>
      <c r="E36" s="19">
        <v>40</v>
      </c>
      <c r="F36" s="18">
        <v>40</v>
      </c>
      <c r="G36" s="22">
        <v>14.999999999999977</v>
      </c>
      <c r="H36" s="22">
        <v>0</v>
      </c>
      <c r="I36" s="22">
        <v>0</v>
      </c>
      <c r="J36" s="22">
        <v>0</v>
      </c>
      <c r="K36" s="22">
        <f t="shared" si="0"/>
        <v>0</v>
      </c>
      <c r="L36" s="18">
        <v>0</v>
      </c>
      <c r="M36" s="20">
        <v>11</v>
      </c>
      <c r="N36" s="24">
        <v>97.586557107540401</v>
      </c>
      <c r="O36" s="93">
        <v>-66.2708773360349</v>
      </c>
      <c r="P36" s="93">
        <v>198.15815208946699</v>
      </c>
      <c r="Q36" s="93">
        <f t="shared" si="1"/>
        <v>61.217273001539709</v>
      </c>
      <c r="R36" s="93">
        <f t="shared" si="2"/>
        <v>136.9408790879273</v>
      </c>
      <c r="S36" s="94">
        <f t="shared" si="3"/>
        <v>2.0305886175602721</v>
      </c>
      <c r="T36" s="22">
        <v>9.2557162844982805</v>
      </c>
      <c r="U36" s="22">
        <v>-20.9017840303793</v>
      </c>
      <c r="V36" s="22">
        <v>-9.7484909291075308</v>
      </c>
      <c r="W36" s="21">
        <f t="shared" si="12"/>
        <v>62.30899029022612</v>
      </c>
      <c r="X36" s="32">
        <f t="shared" si="5"/>
        <v>30.893138816666266</v>
      </c>
      <c r="Y36" s="35">
        <f t="shared" si="11"/>
        <v>1.3167354644296223</v>
      </c>
      <c r="Z36" s="25">
        <f t="shared" si="15"/>
        <v>-0.89419298142735559</v>
      </c>
      <c r="AA36" s="25">
        <f t="shared" si="8"/>
        <v>2.6737480464087295</v>
      </c>
      <c r="AB36" s="25">
        <f t="shared" si="13"/>
        <v>0.1248873845100122</v>
      </c>
      <c r="AC36" s="25">
        <f t="shared" si="10"/>
        <v>-0.28202778249794969</v>
      </c>
      <c r="AD36" s="34">
        <f t="shared" si="14"/>
        <v>-0.13153639303906264</v>
      </c>
      <c r="AE36" s="2"/>
      <c r="AF36" s="24">
        <v>4.1423765284764702</v>
      </c>
      <c r="AG36" s="23">
        <v>38.216704029060402</v>
      </c>
      <c r="AH36" s="23">
        <v>3.4434334690554498</v>
      </c>
      <c r="AI36" s="23">
        <v>23.872247590455199</v>
      </c>
      <c r="AJ36" s="23">
        <v>5.9608287855077098</v>
      </c>
      <c r="AK36" s="23">
        <v>41.160424383192101</v>
      </c>
      <c r="AL36" s="23">
        <v>34.496429419921903</v>
      </c>
      <c r="AM36" s="23">
        <v>53.727868134264902</v>
      </c>
      <c r="AN36" s="23">
        <v>6.7165744325911998</v>
      </c>
      <c r="AO36" s="23">
        <v>10.307917189096999</v>
      </c>
      <c r="AP36" s="23">
        <v>7.2250652916718003</v>
      </c>
      <c r="AQ36" s="23">
        <v>13.430954861846899</v>
      </c>
      <c r="AR36" s="23">
        <v>2.4571977868847501</v>
      </c>
      <c r="AS36" s="23">
        <v>24.170207362866101</v>
      </c>
      <c r="AT36" s="23">
        <v>12.605754270736499</v>
      </c>
      <c r="AU36" s="23">
        <v>6.4060985980801304</v>
      </c>
      <c r="AV36" s="23">
        <v>2.4966135683220498</v>
      </c>
      <c r="AW36" s="23">
        <v>-1.49664180430084</v>
      </c>
      <c r="AX36" s="23">
        <v>5.5900570178239901</v>
      </c>
      <c r="AY36" s="23">
        <v>-2.8441849359993099</v>
      </c>
      <c r="AZ36" s="23">
        <v>4.4047586021405403</v>
      </c>
      <c r="BA36" s="23">
        <v>-1.36147150428763</v>
      </c>
      <c r="BB36" s="23">
        <v>2.2128352193298699</v>
      </c>
      <c r="BC36" s="23">
        <v>-0.80950014922268299</v>
      </c>
      <c r="BD36" s="23">
        <v>1.5630421946838</v>
      </c>
      <c r="BE36" s="23">
        <v>-0.115454851852423</v>
      </c>
      <c r="BF36" s="23">
        <v>1.7972234756279299</v>
      </c>
      <c r="BG36" s="23">
        <v>-1.3766298406805299E-2</v>
      </c>
      <c r="BH36" s="23">
        <v>0.32705439177561202</v>
      </c>
      <c r="BI36" s="23">
        <v>-3.6766903897790103E-2</v>
      </c>
      <c r="BJ36" s="23">
        <v>0.20576455279776401</v>
      </c>
      <c r="BK36" s="36">
        <v>-5.1228818056596702E-2</v>
      </c>
      <c r="BL36" s="2"/>
      <c r="BM36" s="35">
        <v>0.12551344842356599</v>
      </c>
      <c r="BN36" s="21">
        <v>60.380568479597997</v>
      </c>
      <c r="BO36" s="25">
        <v>0.124604665084889</v>
      </c>
      <c r="BP36" s="21">
        <v>55.091869828020101</v>
      </c>
      <c r="BQ36" s="25">
        <v>0.125525985581287</v>
      </c>
      <c r="BR36" s="21">
        <v>66.431192191556093</v>
      </c>
      <c r="BS36" s="25">
        <v>0.12459008646452201</v>
      </c>
      <c r="BT36" s="32">
        <v>71.0484297102889</v>
      </c>
      <c r="BV36" s="37">
        <f>14066970/1000000</f>
        <v>14.06697</v>
      </c>
      <c r="BW36" s="1">
        <v>1000</v>
      </c>
      <c r="BX36" s="1">
        <v>750</v>
      </c>
      <c r="BY36" s="21">
        <v>9.4271021208615107</v>
      </c>
      <c r="BZ36" s="21">
        <v>37.841833118003699</v>
      </c>
      <c r="CA36" s="45">
        <v>7.2230837041718E-6</v>
      </c>
      <c r="CB36" s="45">
        <v>5.8371212926766596E-3</v>
      </c>
      <c r="CC36" s="45">
        <v>1.15498324613166E-4</v>
      </c>
      <c r="CD36" s="45">
        <v>3.3838821896889701E-4</v>
      </c>
      <c r="CE36" s="45">
        <v>2.5228498834852599E-4</v>
      </c>
      <c r="CF36" s="45">
        <v>2.19731896399253E-4</v>
      </c>
      <c r="CG36" s="23"/>
      <c r="CH36" s="21">
        <v>32.5626831054687</v>
      </c>
      <c r="CI36" s="21"/>
      <c r="CJ36" s="38"/>
      <c r="CL36" s="88">
        <v>29.269521239980801</v>
      </c>
      <c r="CM36" s="1">
        <v>-210.88895379540801</v>
      </c>
      <c r="CN36" s="20">
        <v>43.933570548174202</v>
      </c>
    </row>
    <row r="37" spans="2:92" s="1" customFormat="1" x14ac:dyDescent="0.25">
      <c r="B37" s="1" t="s">
        <v>200</v>
      </c>
      <c r="C37" s="1" t="s">
        <v>184</v>
      </c>
      <c r="D37" s="20" t="s">
        <v>203</v>
      </c>
      <c r="E37" s="19">
        <v>40</v>
      </c>
      <c r="F37" s="2">
        <v>40</v>
      </c>
      <c r="G37" s="21">
        <v>0</v>
      </c>
      <c r="H37" s="21">
        <v>0</v>
      </c>
      <c r="I37" s="21">
        <v>2.5710000000000002</v>
      </c>
      <c r="J37" s="21">
        <v>2.5049999999999999</v>
      </c>
      <c r="K37" s="21">
        <f t="shared" si="0"/>
        <v>0</v>
      </c>
      <c r="L37" s="2">
        <v>34.68</v>
      </c>
      <c r="M37" s="20">
        <v>11</v>
      </c>
      <c r="N37" s="24">
        <v>110.69140478566</v>
      </c>
      <c r="O37" s="23">
        <v>4.7803398744400596</v>
      </c>
      <c r="P37" s="23">
        <v>236.99402301126199</v>
      </c>
      <c r="Q37" s="23">
        <f t="shared" si="1"/>
        <v>69.11818965680483</v>
      </c>
      <c r="R37" s="23">
        <f t="shared" si="2"/>
        <v>167.87583335445717</v>
      </c>
      <c r="S37" s="25">
        <f t="shared" si="3"/>
        <v>2.1410336554149905</v>
      </c>
      <c r="T37" s="21">
        <v>2.8897549146988402</v>
      </c>
      <c r="U37" s="21">
        <v>-33.125340720552103</v>
      </c>
      <c r="V37" s="21">
        <v>-7.5329901400023598</v>
      </c>
      <c r="W37" s="21">
        <f t="shared" si="12"/>
        <v>50.508484086871263</v>
      </c>
      <c r="X37" s="32">
        <f t="shared" si="5"/>
        <v>29.164528614934866</v>
      </c>
      <c r="Y37" s="35">
        <f t="shared" si="11"/>
        <v>1.4935591807813795</v>
      </c>
      <c r="Z37" s="25">
        <f t="shared" si="15"/>
        <v>6.4501128344612024E-2</v>
      </c>
      <c r="AA37" s="25">
        <f t="shared" si="8"/>
        <v>3.197760472406975</v>
      </c>
      <c r="AB37" s="25">
        <f t="shared" si="13"/>
        <v>3.8991464526211363E-2</v>
      </c>
      <c r="AC37" s="25">
        <f t="shared" si="10"/>
        <v>-0.44696023910341842</v>
      </c>
      <c r="AD37" s="34">
        <f t="shared" si="14"/>
        <v>-0.10164263977065081</v>
      </c>
      <c r="AE37" s="2"/>
      <c r="AF37" s="24">
        <v>4.8438601550180902</v>
      </c>
      <c r="AG37" s="23">
        <v>31.037507853678299</v>
      </c>
      <c r="AH37" s="23">
        <v>4.5497750048909502</v>
      </c>
      <c r="AI37" s="23">
        <v>31.1470735645789</v>
      </c>
      <c r="AJ37" s="23">
        <v>6.8750166775624004</v>
      </c>
      <c r="AK37" s="23">
        <v>47.629998336840998</v>
      </c>
      <c r="AL37" s="23">
        <v>42.147393386075002</v>
      </c>
      <c r="AM37" s="23">
        <v>75.823635250606202</v>
      </c>
      <c r="AN37" s="23">
        <v>7.3476758801906401</v>
      </c>
      <c r="AO37" s="23">
        <v>13.341939121305</v>
      </c>
      <c r="AP37" s="23">
        <v>7.05312994976242</v>
      </c>
      <c r="AQ37" s="23">
        <v>12.545361265948401</v>
      </c>
      <c r="AR37" s="23">
        <v>2.8498329612087501</v>
      </c>
      <c r="AS37" s="23">
        <v>28.802453480529898</v>
      </c>
      <c r="AT37" s="23">
        <v>14.334693556991301</v>
      </c>
      <c r="AU37" s="23">
        <v>10.677012238858399</v>
      </c>
      <c r="AV37" s="23">
        <v>3.4117217251271699</v>
      </c>
      <c r="AW37" s="23">
        <v>-1.5883460854606</v>
      </c>
      <c r="AX37" s="23">
        <v>4.1633536496191201</v>
      </c>
      <c r="AY37" s="23">
        <v>-2.08794239345257</v>
      </c>
      <c r="AZ37" s="23">
        <v>2.71286807984001</v>
      </c>
      <c r="BA37" s="23">
        <v>-1.9514481447163801</v>
      </c>
      <c r="BB37" s="23">
        <v>2.9324701412996101</v>
      </c>
      <c r="BC37" s="23">
        <v>-1.46021800491892</v>
      </c>
      <c r="BD37" s="23">
        <v>1.6560046252045799</v>
      </c>
      <c r="BE37" s="23">
        <v>-0.16119847711969101</v>
      </c>
      <c r="BF37" s="23">
        <v>1.9534904173432499</v>
      </c>
      <c r="BG37" s="23">
        <v>-0.26253673611501599</v>
      </c>
      <c r="BH37" s="23">
        <v>0.54141698985059905</v>
      </c>
      <c r="BI37" s="23">
        <v>-0.17277078527911999</v>
      </c>
      <c r="BJ37" s="23">
        <v>0.45896059987474302</v>
      </c>
      <c r="BK37" s="36">
        <v>7.5594500742205695E-2</v>
      </c>
      <c r="BL37" s="2"/>
      <c r="BM37" s="35">
        <v>0.125411310584224</v>
      </c>
      <c r="BN37" s="21">
        <v>48.508128336388197</v>
      </c>
      <c r="BO37" s="25">
        <v>0.12470659413705</v>
      </c>
      <c r="BP37" s="21">
        <v>44.666879933724999</v>
      </c>
      <c r="BQ37" s="25">
        <v>0.125454565058609</v>
      </c>
      <c r="BR37" s="21">
        <v>66.905750514146405</v>
      </c>
      <c r="BS37" s="25">
        <v>0.124757373673638</v>
      </c>
      <c r="BT37" s="32">
        <v>66.840085686545507</v>
      </c>
      <c r="BV37" s="37">
        <f>14031846/1000000</f>
        <v>14.031846</v>
      </c>
      <c r="BW37" s="1">
        <v>1000</v>
      </c>
      <c r="BX37" s="1">
        <v>750</v>
      </c>
      <c r="BY37" s="21">
        <v>8.7389922596111091</v>
      </c>
      <c r="BZ37" s="21">
        <v>35.484748145197898</v>
      </c>
      <c r="CA37" s="45">
        <v>1.00801202914001E-5</v>
      </c>
      <c r="CB37" s="45">
        <v>6.6860615595817803E-3</v>
      </c>
      <c r="CC37" s="45">
        <v>1.31294686105209E-4</v>
      </c>
      <c r="CD37" s="45">
        <v>3.9327435523073501E-4</v>
      </c>
      <c r="CE37" s="45">
        <v>2.9052569929940801E-4</v>
      </c>
      <c r="CF37" s="45">
        <v>3.80132975022196E-4</v>
      </c>
      <c r="CG37" s="23"/>
      <c r="CH37" s="21">
        <v>32.342700958251903</v>
      </c>
      <c r="CI37" s="21"/>
      <c r="CJ37" s="38"/>
      <c r="CL37" s="88">
        <v>1.4460922726179599</v>
      </c>
      <c r="CM37" s="1">
        <v>-258.528783365864</v>
      </c>
      <c r="CN37" s="20">
        <v>-11.4052566518937</v>
      </c>
    </row>
    <row r="38" spans="2:92" s="1" customFormat="1" x14ac:dyDescent="0.25">
      <c r="B38" s="1" t="s">
        <v>202</v>
      </c>
      <c r="C38" s="1" t="s">
        <v>185</v>
      </c>
      <c r="D38" s="20" t="s">
        <v>204</v>
      </c>
      <c r="E38" s="19">
        <v>40</v>
      </c>
      <c r="F38" s="2">
        <v>40</v>
      </c>
      <c r="G38" s="21">
        <v>0</v>
      </c>
      <c r="H38" s="21">
        <v>0</v>
      </c>
      <c r="I38" s="21">
        <v>5.2140000000000004</v>
      </c>
      <c r="J38" s="21">
        <v>4.952</v>
      </c>
      <c r="K38" s="21">
        <f t="shared" si="0"/>
        <v>0</v>
      </c>
      <c r="L38" s="2">
        <v>17.25</v>
      </c>
      <c r="M38" s="20">
        <v>11</v>
      </c>
      <c r="N38" s="24">
        <v>111.884761302504</v>
      </c>
      <c r="O38" s="23">
        <v>8.8606047557700194</v>
      </c>
      <c r="P38" s="23">
        <v>239.27778931549199</v>
      </c>
      <c r="Q38" s="23">
        <f t="shared" si="1"/>
        <v>79.099940660004322</v>
      </c>
      <c r="R38" s="23">
        <f t="shared" si="2"/>
        <v>160.17784865548768</v>
      </c>
      <c r="S38" s="25">
        <f t="shared" si="3"/>
        <v>2.1386092844990223</v>
      </c>
      <c r="T38" s="21">
        <v>1.18593428998121</v>
      </c>
      <c r="U38" s="21">
        <v>-19.0601085589741</v>
      </c>
      <c r="V38" s="21">
        <v>-14.917934916536399</v>
      </c>
      <c r="W38" s="21">
        <f t="shared" si="12"/>
        <v>49.481088365074292</v>
      </c>
      <c r="X38" s="32">
        <f t="shared" si="5"/>
        <v>33.057786469144304</v>
      </c>
      <c r="Y38" s="35">
        <f t="shared" si="11"/>
        <v>1.5096611408669791</v>
      </c>
      <c r="Z38" s="25">
        <f t="shared" si="15"/>
        <v>0.11955614445296027</v>
      </c>
      <c r="AA38" s="25">
        <f t="shared" si="8"/>
        <v>3.2285753323055078</v>
      </c>
      <c r="AB38" s="25">
        <f t="shared" si="13"/>
        <v>1.6001811974784414E-2</v>
      </c>
      <c r="AC38" s="25">
        <f t="shared" si="10"/>
        <v>-0.25717805443041453</v>
      </c>
      <c r="AD38" s="34">
        <f t="shared" si="14"/>
        <v>-0.20128770337711449</v>
      </c>
      <c r="AE38" s="2"/>
      <c r="AF38" s="24">
        <v>4.7711915413198396</v>
      </c>
      <c r="AG38" s="23">
        <v>28.778943285304699</v>
      </c>
      <c r="AH38" s="23">
        <v>4.4433628881437599</v>
      </c>
      <c r="AI38" s="23">
        <v>32.387888364263802</v>
      </c>
      <c r="AJ38" s="23">
        <v>7.5375002981302197</v>
      </c>
      <c r="AK38" s="23">
        <v>55.415987649603302</v>
      </c>
      <c r="AL38" s="23">
        <v>41.837570777362203</v>
      </c>
      <c r="AM38" s="23">
        <v>74.250988878378493</v>
      </c>
      <c r="AN38" s="23">
        <v>6.7054621777926</v>
      </c>
      <c r="AO38" s="23">
        <v>12.8567446970251</v>
      </c>
      <c r="AP38" s="23">
        <v>7.3519505056002101</v>
      </c>
      <c r="AQ38" s="23">
        <v>12.076874207850601</v>
      </c>
      <c r="AR38" s="23">
        <v>2.7386061672203801</v>
      </c>
      <c r="AS38" s="23">
        <v>27.386437886465</v>
      </c>
      <c r="AT38" s="23">
        <v>14.4856247938961</v>
      </c>
      <c r="AU38" s="23">
        <v>10.1989483217419</v>
      </c>
      <c r="AV38" s="23">
        <v>3.6041595797597301</v>
      </c>
      <c r="AW38" s="23">
        <v>-1.7451833214444801</v>
      </c>
      <c r="AX38" s="23">
        <v>5.1781668822386502</v>
      </c>
      <c r="AY38" s="23">
        <v>-1.46333360044856</v>
      </c>
      <c r="AZ38" s="23">
        <v>2.8150271790355399</v>
      </c>
      <c r="BA38" s="23">
        <v>-2.0285226250007602</v>
      </c>
      <c r="BB38" s="23">
        <v>3.1255897564007</v>
      </c>
      <c r="BC38" s="23">
        <v>-1.15163023322598</v>
      </c>
      <c r="BD38" s="23">
        <v>1.8648699142660701</v>
      </c>
      <c r="BE38" s="23">
        <v>-0.26152750751994602</v>
      </c>
      <c r="BF38" s="23">
        <v>1.9808583583775601</v>
      </c>
      <c r="BG38" s="23">
        <v>-0.36273665049929499</v>
      </c>
      <c r="BH38" s="23">
        <v>0.56995341982453196</v>
      </c>
      <c r="BI38" s="23">
        <v>-0.28945148767662698</v>
      </c>
      <c r="BJ38" s="23">
        <v>0.43471486113912</v>
      </c>
      <c r="BK38" s="36">
        <v>-5.5133326105284604E-3</v>
      </c>
      <c r="BL38" s="2"/>
      <c r="BM38" s="35">
        <v>0.123898006791535</v>
      </c>
      <c r="BN38" s="21">
        <v>45.949445707343003</v>
      </c>
      <c r="BO38" s="25">
        <v>0.125930363781636</v>
      </c>
      <c r="BP38" s="21">
        <v>43.766870875118897</v>
      </c>
      <c r="BQ38" s="25">
        <v>0.12391465110353</v>
      </c>
      <c r="BR38" s="21">
        <v>72.862456527192293</v>
      </c>
      <c r="BS38" s="25">
        <v>0.125917449801249</v>
      </c>
      <c r="BT38" s="32">
        <v>65.5527102509526</v>
      </c>
      <c r="BV38" s="37">
        <f>14062584/1000000</f>
        <v>14.062583999999999</v>
      </c>
      <c r="BW38" s="1">
        <v>1000</v>
      </c>
      <c r="BX38" s="1">
        <v>750</v>
      </c>
      <c r="BY38" s="21">
        <v>9.7728453481107298</v>
      </c>
      <c r="BZ38" s="21">
        <v>39.106767707200703</v>
      </c>
      <c r="CA38" s="45">
        <v>1.06516880120503E-5</v>
      </c>
      <c r="CB38" s="45">
        <v>6.6302847842975802E-3</v>
      </c>
      <c r="CC38" s="45">
        <v>1.4412172334605101E-4</v>
      </c>
      <c r="CD38" s="45">
        <v>3.9481844068485998E-4</v>
      </c>
      <c r="CE38" s="45">
        <v>3.9642259747445701E-4</v>
      </c>
      <c r="CF38" s="45">
        <v>3.7685616840839201E-4</v>
      </c>
      <c r="CG38" s="23"/>
      <c r="CH38" s="21">
        <v>28.012050628662099</v>
      </c>
      <c r="CI38" s="21"/>
      <c r="CJ38" s="38"/>
      <c r="CL38" s="88">
        <v>-1.48996834626133</v>
      </c>
      <c r="CM38" s="1">
        <v>-246.67388692945099</v>
      </c>
      <c r="CN38" s="20">
        <v>-22.095379192900399</v>
      </c>
    </row>
    <row r="39" spans="2:92" s="1" customFormat="1" x14ac:dyDescent="0.25">
      <c r="B39" s="1" t="s">
        <v>201</v>
      </c>
      <c r="C39" s="1" t="s">
        <v>186</v>
      </c>
      <c r="D39" s="20" t="s">
        <v>205</v>
      </c>
      <c r="E39" s="19">
        <v>40</v>
      </c>
      <c r="F39" s="2">
        <v>40</v>
      </c>
      <c r="G39" s="21">
        <v>0</v>
      </c>
      <c r="H39" s="21">
        <v>0</v>
      </c>
      <c r="I39" s="21">
        <v>7.94</v>
      </c>
      <c r="J39" s="21">
        <v>7.3490000000000002</v>
      </c>
      <c r="K39" s="21">
        <f t="shared" si="0"/>
        <v>0</v>
      </c>
      <c r="L39" s="2">
        <v>11.42</v>
      </c>
      <c r="M39" s="20">
        <v>11</v>
      </c>
      <c r="N39" s="24">
        <v>112.466739782589</v>
      </c>
      <c r="O39" s="23">
        <v>14.1073908224832</v>
      </c>
      <c r="P39" s="23">
        <v>240.6054808598</v>
      </c>
      <c r="Q39" s="23">
        <f t="shared" si="1"/>
        <v>71.804626385413641</v>
      </c>
      <c r="R39" s="23">
        <f t="shared" si="2"/>
        <v>168.80085447438637</v>
      </c>
      <c r="S39" s="25">
        <f t="shared" si="3"/>
        <v>2.1393478758690594</v>
      </c>
      <c r="T39" s="21">
        <v>-0.14915882376808501</v>
      </c>
      <c r="U39" s="21">
        <v>-31.088296760540398</v>
      </c>
      <c r="V39" s="21">
        <v>-21.8794912696045</v>
      </c>
      <c r="W39" s="21">
        <f t="shared" si="12"/>
        <v>48.472745080314176</v>
      </c>
      <c r="X39" s="32">
        <f t="shared" si="5"/>
        <v>29.843304536879586</v>
      </c>
      <c r="Y39" s="35">
        <f t="shared" si="11"/>
        <v>1.5175137767932398</v>
      </c>
      <c r="Z39" s="25">
        <f t="shared" si="15"/>
        <v>0.19035103150592947</v>
      </c>
      <c r="AA39" s="25">
        <f t="shared" si="8"/>
        <v>3.2464898749846514</v>
      </c>
      <c r="AB39" s="25">
        <f t="shared" si="13"/>
        <v>-2.0126000845752737E-3</v>
      </c>
      <c r="AC39" s="25">
        <f t="shared" si="10"/>
        <v>-0.4194744039202617</v>
      </c>
      <c r="AD39" s="34">
        <f t="shared" si="14"/>
        <v>-0.295219986771523</v>
      </c>
      <c r="AE39" s="2"/>
      <c r="AF39" s="24">
        <v>5.1773870811277796</v>
      </c>
      <c r="AG39" s="23">
        <v>33.091542587157299</v>
      </c>
      <c r="AH39" s="23">
        <v>4.27117242892718</v>
      </c>
      <c r="AI39" s="23">
        <v>32.195005929711598</v>
      </c>
      <c r="AJ39" s="23">
        <v>7.0151141014864802</v>
      </c>
      <c r="AK39" s="23">
        <v>48.500226132601099</v>
      </c>
      <c r="AL39" s="23">
        <v>42.644130345738503</v>
      </c>
      <c r="AM39" s="23">
        <v>75.681846620981602</v>
      </c>
      <c r="AN39" s="23">
        <v>6.8571349784198201</v>
      </c>
      <c r="AO39" s="23">
        <v>13.553048875890701</v>
      </c>
      <c r="AP39" s="23">
        <v>7.5076801506737203</v>
      </c>
      <c r="AQ39" s="23">
        <v>12.902869721019099</v>
      </c>
      <c r="AR39" s="23">
        <v>2.6699686145507</v>
      </c>
      <c r="AS39" s="23">
        <v>26.993640150241699</v>
      </c>
      <c r="AT39" s="23">
        <v>14.756328713978199</v>
      </c>
      <c r="AU39" s="23">
        <v>11.8752476445166</v>
      </c>
      <c r="AV39" s="23">
        <v>3.0800353285042101</v>
      </c>
      <c r="AW39" s="23">
        <v>-1.76460529882892</v>
      </c>
      <c r="AX39" s="23">
        <v>5.1519695608929403</v>
      </c>
      <c r="AY39" s="23">
        <v>-1.9433239896210099</v>
      </c>
      <c r="AZ39" s="23">
        <v>3.2731422775441898</v>
      </c>
      <c r="BA39" s="23">
        <v>-1.73560694735218</v>
      </c>
      <c r="BB39" s="23">
        <v>3.2192119673481301</v>
      </c>
      <c r="BC39" s="23">
        <v>-1.15344139460412</v>
      </c>
      <c r="BD39" s="23">
        <v>1.6872562289598401</v>
      </c>
      <c r="BE39" s="23">
        <v>-0.20158964513453601</v>
      </c>
      <c r="BF39" s="23">
        <v>1.92925033303831</v>
      </c>
      <c r="BG39" s="23">
        <v>-0.105963174885833</v>
      </c>
      <c r="BH39" s="23">
        <v>0.47335873886169599</v>
      </c>
      <c r="BI39" s="23">
        <v>-0.32313651993118597</v>
      </c>
      <c r="BJ39" s="23">
        <v>0.35230856562719898</v>
      </c>
      <c r="BK39" s="36">
        <v>4.8179471660844603E-2</v>
      </c>
      <c r="BL39" s="2"/>
      <c r="BM39" s="35">
        <v>0.123927300926093</v>
      </c>
      <c r="BN39" s="21">
        <v>47.4896117731139</v>
      </c>
      <c r="BO39" s="25">
        <v>0.126388220044582</v>
      </c>
      <c r="BP39" s="21">
        <v>48.775381350051802</v>
      </c>
      <c r="BQ39" s="25">
        <v>0.123895979316808</v>
      </c>
      <c r="BR39" s="21">
        <v>73.213924591989496</v>
      </c>
      <c r="BS39" s="25">
        <v>0.12638655723567899</v>
      </c>
      <c r="BT39" s="32">
        <v>63.6271381627663</v>
      </c>
      <c r="BV39" s="37">
        <f>14187995/1000000</f>
        <v>14.187995000000001</v>
      </c>
      <c r="BW39" s="1">
        <v>1000</v>
      </c>
      <c r="BX39" s="1">
        <v>750</v>
      </c>
      <c r="BY39" s="21">
        <v>9.3854197856666595</v>
      </c>
      <c r="BZ39" s="21">
        <v>37.7122793671994</v>
      </c>
      <c r="CA39" s="45">
        <v>9.3291956370974695E-6</v>
      </c>
      <c r="CB39" s="45">
        <v>6.3143221159287803E-3</v>
      </c>
      <c r="CC39" s="45">
        <v>1.22137693175176E-4</v>
      </c>
      <c r="CD39" s="45">
        <v>3.1242210919405302E-4</v>
      </c>
      <c r="CE39" s="45">
        <v>3.4630816730964198E-4</v>
      </c>
      <c r="CF39" s="45">
        <v>3.1040218740493498E-4</v>
      </c>
      <c r="CG39" s="23"/>
      <c r="CH39" s="21">
        <v>28.280857086181602</v>
      </c>
      <c r="CI39" s="21"/>
      <c r="CJ39" s="38"/>
      <c r="CL39" s="88">
        <v>-4.40959085215803</v>
      </c>
      <c r="CM39" s="1">
        <v>-259.95331589055502</v>
      </c>
      <c r="CN39" s="20">
        <v>-33.307042131448803</v>
      </c>
    </row>
    <row r="40" spans="2:92" s="1" customFormat="1" x14ac:dyDescent="0.25">
      <c r="B40" s="1" t="s">
        <v>206</v>
      </c>
      <c r="C40" s="1" t="s">
        <v>187</v>
      </c>
      <c r="D40" s="20" t="s">
        <v>207</v>
      </c>
      <c r="E40" s="19">
        <v>40</v>
      </c>
      <c r="F40" s="2">
        <v>40</v>
      </c>
      <c r="G40" s="21">
        <v>0</v>
      </c>
      <c r="H40" s="21">
        <v>0</v>
      </c>
      <c r="I40" s="21">
        <v>10.762</v>
      </c>
      <c r="J40" s="21">
        <v>9.702</v>
      </c>
      <c r="K40" s="21">
        <f t="shared" si="0"/>
        <v>0</v>
      </c>
      <c r="L40" s="2">
        <v>8.49</v>
      </c>
      <c r="M40" s="20">
        <v>11</v>
      </c>
      <c r="N40" s="24">
        <v>112.61038004919401</v>
      </c>
      <c r="O40" s="23">
        <v>20.356294616556699</v>
      </c>
      <c r="P40" s="23">
        <v>239.466070744387</v>
      </c>
      <c r="Q40" s="23">
        <f t="shared" si="1"/>
        <v>71.202475633349351</v>
      </c>
      <c r="R40" s="23">
        <f t="shared" si="2"/>
        <v>168.26359511103766</v>
      </c>
      <c r="S40" s="25">
        <f t="shared" si="3"/>
        <v>2.1265008664367877</v>
      </c>
      <c r="T40" s="21">
        <v>4.1076257775588501E-2</v>
      </c>
      <c r="U40" s="21">
        <v>-31.140505750358599</v>
      </c>
      <c r="V40" s="21">
        <v>-29.9568409761422</v>
      </c>
      <c r="W40" s="21">
        <f t="shared" si="12"/>
        <v>47.874951310972001</v>
      </c>
      <c r="X40" s="32">
        <f t="shared" si="5"/>
        <v>29.733847226045199</v>
      </c>
      <c r="Y40" s="35">
        <f t="shared" si="11"/>
        <v>1.5194519149832213</v>
      </c>
      <c r="Z40" s="25">
        <f t="shared" si="15"/>
        <v>0.27466749356123049</v>
      </c>
      <c r="AA40" s="25">
        <f t="shared" si="8"/>
        <v>3.2311158137208564</v>
      </c>
      <c r="AB40" s="25">
        <f t="shared" si="13"/>
        <v>5.5424196695008936E-4</v>
      </c>
      <c r="AC40" s="25">
        <f t="shared" si="10"/>
        <v>-0.42017885984629577</v>
      </c>
      <c r="AD40" s="34">
        <f t="shared" si="14"/>
        <v>-0.40420767044887429</v>
      </c>
      <c r="AE40" s="2"/>
      <c r="AF40" s="24">
        <v>4.7488597736394196</v>
      </c>
      <c r="AG40" s="23">
        <v>30.133676155064499</v>
      </c>
      <c r="AH40" s="23">
        <v>4.4156658916846201</v>
      </c>
      <c r="AI40" s="23">
        <v>34.267738792672098</v>
      </c>
      <c r="AJ40" s="23">
        <v>7.00010354113512</v>
      </c>
      <c r="AK40" s="23">
        <v>48.657803290372598</v>
      </c>
      <c r="AL40" s="23">
        <v>42.450012125361503</v>
      </c>
      <c r="AM40" s="23">
        <v>75.402976444863299</v>
      </c>
      <c r="AN40" s="23">
        <v>7.0372010333966601</v>
      </c>
      <c r="AO40" s="23">
        <v>13.7767414848929</v>
      </c>
      <c r="AP40" s="23">
        <v>7.9440082875475104</v>
      </c>
      <c r="AQ40" s="23">
        <v>13.6281707669493</v>
      </c>
      <c r="AR40" s="23">
        <v>2.6723348553716799</v>
      </c>
      <c r="AS40" s="23">
        <v>27.452288536161898</v>
      </c>
      <c r="AT40" s="23">
        <v>14.983854548295</v>
      </c>
      <c r="AU40" s="23">
        <v>10.5912391807439</v>
      </c>
      <c r="AV40" s="23">
        <v>2.7366375297543399</v>
      </c>
      <c r="AW40" s="23">
        <v>-2.0208793034935799</v>
      </c>
      <c r="AX40" s="23">
        <v>5.1441654892497004</v>
      </c>
      <c r="AY40" s="23">
        <v>-1.8009087837556399</v>
      </c>
      <c r="AZ40" s="23">
        <v>3.0559946740936499</v>
      </c>
      <c r="BA40" s="23">
        <v>-1.8420237071604399</v>
      </c>
      <c r="BB40" s="23">
        <v>3.3119603298496001</v>
      </c>
      <c r="BC40" s="23">
        <v>-1.1248560015125999</v>
      </c>
      <c r="BD40" s="23">
        <v>1.67500586766826</v>
      </c>
      <c r="BE40" s="23">
        <v>-0.16711225868079399</v>
      </c>
      <c r="BF40" s="23">
        <v>2.1835810453033999</v>
      </c>
      <c r="BG40" s="23">
        <v>-0.55004457517404504</v>
      </c>
      <c r="BH40" s="23">
        <v>0.43234850595596902</v>
      </c>
      <c r="BI40" s="23">
        <v>-0.36654203124635698</v>
      </c>
      <c r="BJ40" s="23">
        <v>0.33226796713095103</v>
      </c>
      <c r="BK40" s="36">
        <v>0.103202904409747</v>
      </c>
      <c r="BL40" s="2"/>
      <c r="BM40" s="35">
        <v>0.12420277932439699</v>
      </c>
      <c r="BN40" s="21">
        <v>48.822350720964998</v>
      </c>
      <c r="BO40" s="25">
        <v>0.126818328316331</v>
      </c>
      <c r="BP40" s="21">
        <v>53.515293321918101</v>
      </c>
      <c r="BQ40" s="25">
        <v>0.124310635413531</v>
      </c>
      <c r="BR40" s="21">
        <v>70.766616626319902</v>
      </c>
      <c r="BS40" s="25">
        <v>0.12677120069665601</v>
      </c>
      <c r="BT40" s="32">
        <v>62.087384230839596</v>
      </c>
      <c r="BV40" s="37">
        <f>14221771/1000000</f>
        <v>14.221771</v>
      </c>
      <c r="BW40" s="1">
        <v>1000</v>
      </c>
      <c r="BX40" s="1">
        <v>750</v>
      </c>
      <c r="BY40" s="21">
        <v>9.2604673269995708</v>
      </c>
      <c r="BZ40" s="21">
        <v>37.517736812799001</v>
      </c>
      <c r="CA40" s="45">
        <v>7.5677962357223698E-6</v>
      </c>
      <c r="CB40" s="45">
        <v>6.2595175325715199E-3</v>
      </c>
      <c r="CC40" s="45">
        <v>1.2071535460457E-4</v>
      </c>
      <c r="CD40" s="45">
        <v>2.85289797747045E-4</v>
      </c>
      <c r="CE40" s="45">
        <v>3.12910600951641E-4</v>
      </c>
      <c r="CF40" s="45">
        <v>2.57378158057714E-4</v>
      </c>
      <c r="CG40" s="23"/>
      <c r="CH40" s="21">
        <v>28.270805358886701</v>
      </c>
      <c r="CI40" s="21"/>
      <c r="CJ40" s="38"/>
      <c r="CL40" s="88">
        <v>-6.1065247164245404</v>
      </c>
      <c r="CM40" s="1">
        <v>-259.125936470998</v>
      </c>
      <c r="CN40" s="20">
        <v>-46.446253867337802</v>
      </c>
    </row>
    <row r="41" spans="2:92" s="1" customFormat="1" x14ac:dyDescent="0.25">
      <c r="B41" s="1" t="s">
        <v>208</v>
      </c>
      <c r="C41" s="1" t="s">
        <v>188</v>
      </c>
      <c r="D41" s="20" t="s">
        <v>209</v>
      </c>
      <c r="E41" s="19">
        <v>40</v>
      </c>
      <c r="F41" s="2">
        <v>40</v>
      </c>
      <c r="G41" s="21">
        <v>0</v>
      </c>
      <c r="H41" s="21">
        <v>0</v>
      </c>
      <c r="I41" s="21">
        <v>13.694000000000001</v>
      </c>
      <c r="J41" s="21">
        <v>12.013999999999999</v>
      </c>
      <c r="K41" s="21">
        <f t="shared" si="0"/>
        <v>0</v>
      </c>
      <c r="L41" s="2">
        <v>6.72</v>
      </c>
      <c r="M41" s="20">
        <v>11</v>
      </c>
      <c r="N41" s="24">
        <v>111.772432159779</v>
      </c>
      <c r="O41" s="23">
        <v>24.7621245948602</v>
      </c>
      <c r="P41" s="23">
        <v>235.23542979568299</v>
      </c>
      <c r="Q41" s="23">
        <f t="shared" si="1"/>
        <v>71.099213755421331</v>
      </c>
      <c r="R41" s="23">
        <f t="shared" si="2"/>
        <v>164.13621604026167</v>
      </c>
      <c r="S41" s="25">
        <f t="shared" si="3"/>
        <v>2.1045925658968687</v>
      </c>
      <c r="T41" s="21">
        <v>-1.9270648604629399</v>
      </c>
      <c r="U41" s="21">
        <v>-28.464390638053999</v>
      </c>
      <c r="V41" s="21">
        <v>-36.119857406352097</v>
      </c>
      <c r="W41" s="21">
        <f t="shared" si="12"/>
        <v>46.668151244521368</v>
      </c>
      <c r="X41" s="32">
        <f t="shared" si="5"/>
        <v>30.224704593681125</v>
      </c>
      <c r="Y41" s="35">
        <f t="shared" si="11"/>
        <v>1.5081454836873536</v>
      </c>
      <c r="Z41" s="25">
        <f t="shared" si="15"/>
        <v>0.33411535968777462</v>
      </c>
      <c r="AA41" s="25">
        <f t="shared" si="8"/>
        <v>3.1740317732593417</v>
      </c>
      <c r="AB41" s="25">
        <f t="shared" si="13"/>
        <v>-2.6001887137297213E-2</v>
      </c>
      <c r="AC41" s="25">
        <f t="shared" si="10"/>
        <v>-0.38407003728188893</v>
      </c>
      <c r="AD41" s="34">
        <f t="shared" si="14"/>
        <v>-0.4873652542601058</v>
      </c>
      <c r="AE41" s="2"/>
      <c r="AF41" s="24">
        <v>4.69334473079756</v>
      </c>
      <c r="AG41" s="23">
        <v>30.328892444251501</v>
      </c>
      <c r="AH41" s="23">
        <v>4.3225487484910499</v>
      </c>
      <c r="AI41" s="23">
        <v>33.481114783218203</v>
      </c>
      <c r="AJ41" s="23">
        <v>6.97131686116394</v>
      </c>
      <c r="AK41" s="23">
        <v>48.752138204630299</v>
      </c>
      <c r="AL41" s="23">
        <v>41.713524481912302</v>
      </c>
      <c r="AM41" s="23">
        <v>74.297912532151003</v>
      </c>
      <c r="AN41" s="23">
        <v>7.2226501891082897</v>
      </c>
      <c r="AO41" s="23">
        <v>13.228861862319</v>
      </c>
      <c r="AP41" s="23">
        <v>7.9104460887828498</v>
      </c>
      <c r="AQ41" s="23">
        <v>13.945711776314701</v>
      </c>
      <c r="AR41" s="23">
        <v>2.6243524843317401</v>
      </c>
      <c r="AS41" s="23">
        <v>26.6953690578551</v>
      </c>
      <c r="AT41" s="23">
        <v>15.349521175380101</v>
      </c>
      <c r="AU41" s="23">
        <v>9.9068285104635194</v>
      </c>
      <c r="AV41" s="23">
        <v>2.6663972323860201</v>
      </c>
      <c r="AW41" s="23">
        <v>-2.1108946757041598</v>
      </c>
      <c r="AX41" s="23">
        <v>4.9231358104786498</v>
      </c>
      <c r="AY41" s="23">
        <v>-2.1071888660129301</v>
      </c>
      <c r="AZ41" s="23">
        <v>2.7618998786406501</v>
      </c>
      <c r="BA41" s="23">
        <v>-1.7782562075510899</v>
      </c>
      <c r="BB41" s="23">
        <v>3.6378653814769102</v>
      </c>
      <c r="BC41" s="23">
        <v>-1.63201200413127</v>
      </c>
      <c r="BD41" s="23">
        <v>1.63819707005404</v>
      </c>
      <c r="BE41" s="23">
        <v>-0.12141433731467501</v>
      </c>
      <c r="BF41" s="23">
        <v>2.0867341219679698</v>
      </c>
      <c r="BG41" s="23">
        <v>-0.271489779651575</v>
      </c>
      <c r="BH41" s="23">
        <v>0.43162359080007301</v>
      </c>
      <c r="BI41" s="23">
        <v>-0.145153782613402</v>
      </c>
      <c r="BJ41" s="23">
        <v>0.35425433422383201</v>
      </c>
      <c r="BK41" s="36">
        <v>-2.9589793727824499E-3</v>
      </c>
      <c r="BL41" s="2"/>
      <c r="BM41" s="35">
        <v>0.12578670328011199</v>
      </c>
      <c r="BN41" s="21">
        <v>46.741353492380703</v>
      </c>
      <c r="BO41" s="25">
        <v>0.12712893714232901</v>
      </c>
      <c r="BP41" s="21">
        <v>63.191119641507598</v>
      </c>
      <c r="BQ41" s="25">
        <v>0.125800610528009</v>
      </c>
      <c r="BR41" s="21">
        <v>65.527221098761103</v>
      </c>
      <c r="BS41" s="25">
        <v>0.12715138369943299</v>
      </c>
      <c r="BT41" s="32">
        <v>60.503051404694297</v>
      </c>
      <c r="BV41" s="37">
        <f>14453324/1000000</f>
        <v>14.453324</v>
      </c>
      <c r="BW41" s="1">
        <v>1000</v>
      </c>
      <c r="BX41" s="1">
        <v>750</v>
      </c>
      <c r="BY41" s="21">
        <v>9.3878306545828902</v>
      </c>
      <c r="BZ41" s="21">
        <v>37.753744547594302</v>
      </c>
      <c r="CA41" s="45">
        <v>8.4497919358860702E-6</v>
      </c>
      <c r="CB41" s="45">
        <v>5.9419457666099696E-3</v>
      </c>
      <c r="CC41" s="45">
        <v>1.29413103707353E-4</v>
      </c>
      <c r="CD41" s="45">
        <v>3.2616195227619198E-4</v>
      </c>
      <c r="CE41" s="45">
        <v>3.7060555347841499E-4</v>
      </c>
      <c r="CF41" s="45">
        <v>3.2665617668516301E-4</v>
      </c>
      <c r="CG41" s="23"/>
      <c r="CH41" s="21">
        <v>28.732444763183501</v>
      </c>
      <c r="CI41" s="21"/>
      <c r="CJ41" s="38"/>
      <c r="CL41" s="88">
        <v>-9.4052264881107401</v>
      </c>
      <c r="CM41" s="1">
        <v>-252.769772702003</v>
      </c>
      <c r="CN41" s="20">
        <v>-56.178168813172697</v>
      </c>
    </row>
    <row r="42" spans="2:92" s="1" customFormat="1" x14ac:dyDescent="0.25">
      <c r="B42" s="1" t="s">
        <v>210</v>
      </c>
      <c r="C42" s="1" t="s">
        <v>189</v>
      </c>
      <c r="D42" s="20" t="s">
        <v>267</v>
      </c>
      <c r="E42" s="19">
        <v>30</v>
      </c>
      <c r="F42" s="2">
        <v>30</v>
      </c>
      <c r="G42" s="21">
        <v>0</v>
      </c>
      <c r="H42" s="21">
        <v>0</v>
      </c>
      <c r="I42" s="21">
        <v>0</v>
      </c>
      <c r="J42" s="21">
        <v>0</v>
      </c>
      <c r="K42" s="21">
        <f t="shared" si="0"/>
        <v>0</v>
      </c>
      <c r="L42" s="2">
        <v>0</v>
      </c>
      <c r="M42" s="20">
        <v>11</v>
      </c>
      <c r="N42" s="24">
        <f>54.2218485358161*2</f>
        <v>108.4436970716322</v>
      </c>
      <c r="O42" s="23">
        <v>0</v>
      </c>
      <c r="P42" s="23">
        <f>110.715203624569*2</f>
        <v>221.430407249138</v>
      </c>
      <c r="Q42" s="23">
        <f t="shared" si="1"/>
        <v>55.144914034010732</v>
      </c>
      <c r="R42" s="23">
        <f t="shared" si="2"/>
        <v>166.28549321512727</v>
      </c>
      <c r="S42" s="25">
        <f t="shared" si="3"/>
        <v>2.0418928276013379</v>
      </c>
      <c r="T42" s="21">
        <v>0</v>
      </c>
      <c r="U42" s="21">
        <f>-21.9810879737861*2</f>
        <v>-43.962175947572199</v>
      </c>
      <c r="V42" s="21">
        <v>0</v>
      </c>
      <c r="W42" s="21">
        <f t="shared" si="12"/>
        <v>50</v>
      </c>
      <c r="X42" s="32">
        <f t="shared" si="5"/>
        <v>24.903948251319221</v>
      </c>
      <c r="Y42" s="35">
        <f t="shared" si="11"/>
        <v>1.4632308594586902</v>
      </c>
      <c r="Z42" s="25">
        <f t="shared" si="15"/>
        <v>0</v>
      </c>
      <c r="AA42" s="25">
        <f t="shared" si="8"/>
        <v>2.9877605970536409</v>
      </c>
      <c r="AB42" s="25">
        <f t="shared" si="13"/>
        <v>0</v>
      </c>
      <c r="AC42" s="25">
        <f t="shared" si="10"/>
        <v>-0.59318166230490388</v>
      </c>
      <c r="AD42" s="34">
        <f t="shared" si="14"/>
        <v>0</v>
      </c>
      <c r="AE42" s="2"/>
      <c r="AF42" s="24" t="s">
        <v>94</v>
      </c>
      <c r="AG42" s="23" t="s">
        <v>94</v>
      </c>
      <c r="AH42" s="23">
        <v>4.1921234188658199</v>
      </c>
      <c r="AI42" s="23">
        <v>25.448569169523399</v>
      </c>
      <c r="AJ42" s="23">
        <f>3.12057565558217*2</f>
        <v>6.24115131116434</v>
      </c>
      <c r="AK42" s="23">
        <f>21.3503896866672*2</f>
        <v>42.700779373334399</v>
      </c>
      <c r="AL42" s="23">
        <f>21.1466185719947*2</f>
        <v>42.293237143989401</v>
      </c>
      <c r="AM42" s="23">
        <f>37.3829823151426*2</f>
        <v>74.765964630285197</v>
      </c>
      <c r="AN42" s="23" t="s">
        <v>94</v>
      </c>
      <c r="AO42" s="23" t="s">
        <v>94</v>
      </c>
      <c r="AP42" s="23">
        <v>7.5044605573878096</v>
      </c>
      <c r="AQ42" s="23">
        <v>12.755341079790201</v>
      </c>
      <c r="AR42" s="23">
        <f>1.452757782164*2</f>
        <v>2.9055155643280002</v>
      </c>
      <c r="AS42" s="23">
        <f>15.7272840631323*2</f>
        <v>31.454568126264601</v>
      </c>
      <c r="AT42" s="23">
        <f>6.86774729264853*2</f>
        <v>13.73549458529706</v>
      </c>
      <c r="AU42" s="23">
        <f>4.03320501040696*2</f>
        <v>8.0664100208139207</v>
      </c>
      <c r="AV42" s="23" t="s">
        <v>94</v>
      </c>
      <c r="AW42" s="23" t="s">
        <v>94</v>
      </c>
      <c r="AX42" s="23">
        <v>4.1061591078473798</v>
      </c>
      <c r="AY42" s="23">
        <v>-1.6226098648125</v>
      </c>
      <c r="AZ42" s="23" t="s">
        <v>94</v>
      </c>
      <c r="BA42" s="23" t="s">
        <v>94</v>
      </c>
      <c r="BB42" s="23">
        <v>2.4524300012276199</v>
      </c>
      <c r="BC42" s="23">
        <v>-1.2071834334186999</v>
      </c>
      <c r="BD42" s="23" t="s">
        <v>94</v>
      </c>
      <c r="BE42" s="23" t="s">
        <v>94</v>
      </c>
      <c r="BF42" s="23">
        <v>1.7541999530589001</v>
      </c>
      <c r="BG42" s="23">
        <v>-0.279931105840732</v>
      </c>
      <c r="BH42" s="23" t="s">
        <v>94</v>
      </c>
      <c r="BI42" s="23" t="s">
        <v>94</v>
      </c>
      <c r="BJ42" s="23">
        <v>0.371912492756446</v>
      </c>
      <c r="BK42" s="36">
        <v>-6.05651569934521E-2</v>
      </c>
      <c r="BL42" s="2"/>
      <c r="BM42" s="35" t="s">
        <v>94</v>
      </c>
      <c r="BN42" s="21" t="s">
        <v>94</v>
      </c>
      <c r="BO42" s="25">
        <v>0.12508207317823</v>
      </c>
      <c r="BP42" s="21">
        <v>54.264096209924197</v>
      </c>
      <c r="BQ42" s="25" t="s">
        <v>94</v>
      </c>
      <c r="BR42" s="21" t="s">
        <v>94</v>
      </c>
      <c r="BS42" s="25">
        <v>0.12509572528914401</v>
      </c>
      <c r="BT42" s="32">
        <v>69.029019610425394</v>
      </c>
      <c r="BV42" s="37">
        <f>7012073/1000000</f>
        <v>7.012073</v>
      </c>
      <c r="BW42" s="1">
        <v>1000</v>
      </c>
      <c r="BX42" s="1">
        <v>750</v>
      </c>
      <c r="BY42" s="21">
        <v>4.3696477366664297</v>
      </c>
      <c r="BZ42" s="21">
        <v>17.582944668399399</v>
      </c>
      <c r="CA42" s="45">
        <v>6.8355899706413599E-6</v>
      </c>
      <c r="CB42" s="45">
        <v>6.0356316266520398E-3</v>
      </c>
      <c r="CC42" s="45">
        <v>1.4742277509462699E-4</v>
      </c>
      <c r="CD42" s="45">
        <v>3.88343693233099E-4</v>
      </c>
      <c r="CE42" s="45">
        <v>1.8339798902189299E-4</v>
      </c>
      <c r="CF42" s="45">
        <v>2.5878892170562402E-4</v>
      </c>
      <c r="CG42" s="23"/>
      <c r="CH42" s="21">
        <v>23.6066169738769</v>
      </c>
      <c r="CI42" s="21"/>
      <c r="CJ42" s="38"/>
      <c r="CL42" s="88">
        <v>0</v>
      </c>
      <c r="CM42" s="1">
        <f>-128.039829775648*2</f>
        <v>-256.079659551296</v>
      </c>
      <c r="CN42" s="20">
        <v>0</v>
      </c>
    </row>
    <row r="43" spans="2:92" s="1" customFormat="1" x14ac:dyDescent="0.25">
      <c r="B43" s="2" t="s">
        <v>237</v>
      </c>
      <c r="C43" s="1" t="s">
        <v>190</v>
      </c>
      <c r="D43" s="20" t="s">
        <v>267</v>
      </c>
      <c r="E43" s="19">
        <v>50</v>
      </c>
      <c r="F43" s="2">
        <v>50</v>
      </c>
      <c r="G43" s="21">
        <v>0</v>
      </c>
      <c r="H43" s="21">
        <v>0</v>
      </c>
      <c r="I43" s="21">
        <v>0</v>
      </c>
      <c r="J43" s="21">
        <v>0</v>
      </c>
      <c r="K43" s="21">
        <f t="shared" si="0"/>
        <v>0</v>
      </c>
      <c r="L43" s="2">
        <v>0</v>
      </c>
      <c r="M43" s="20">
        <v>11</v>
      </c>
      <c r="N43" s="24">
        <f>55.4863239720966*2</f>
        <v>110.9726479441932</v>
      </c>
      <c r="O43" s="23">
        <v>0</v>
      </c>
      <c r="P43" s="23">
        <f>131.476287510333*2</f>
        <v>262.95257502066602</v>
      </c>
      <c r="Q43" s="23">
        <f t="shared" si="1"/>
        <v>94.508564628223198</v>
      </c>
      <c r="R43" s="23">
        <f t="shared" si="2"/>
        <v>168.44401039244283</v>
      </c>
      <c r="S43" s="25">
        <f t="shared" si="3"/>
        <v>2.3695260038572901</v>
      </c>
      <c r="T43" s="21">
        <v>0</v>
      </c>
      <c r="U43" s="21">
        <f>-6.44396622773731*2</f>
        <v>-12.887932455474621</v>
      </c>
      <c r="V43" s="21">
        <v>0</v>
      </c>
      <c r="W43" s="21">
        <f t="shared" si="12"/>
        <v>50</v>
      </c>
      <c r="X43" s="32">
        <f t="shared" si="5"/>
        <v>35.941296494546805</v>
      </c>
      <c r="Y43" s="35">
        <f t="shared" si="11"/>
        <v>1.4973539948617733</v>
      </c>
      <c r="Z43" s="25">
        <f t="shared" si="15"/>
        <v>0</v>
      </c>
      <c r="AA43" s="25">
        <f t="shared" si="8"/>
        <v>3.5480192278045672</v>
      </c>
      <c r="AB43" s="25">
        <f t="shared" si="13"/>
        <v>0</v>
      </c>
      <c r="AC43" s="25">
        <f t="shared" si="10"/>
        <v>-0.17389687914285201</v>
      </c>
      <c r="AD43" s="34">
        <f t="shared" si="14"/>
        <v>0</v>
      </c>
      <c r="AE43" s="2"/>
      <c r="AF43" s="24" t="s">
        <v>94</v>
      </c>
      <c r="AG43" s="23" t="s">
        <v>94</v>
      </c>
      <c r="AH43" s="23">
        <v>4.6275095712228698</v>
      </c>
      <c r="AI43" s="23">
        <v>41.379294317899799</v>
      </c>
      <c r="AJ43" s="23">
        <f>3.85028615476325*2</f>
        <v>7.7005723095264997</v>
      </c>
      <c r="AK43" s="23">
        <f>27.1190607888766*2</f>
        <v>54.238121577753198</v>
      </c>
      <c r="AL43" s="23">
        <f>21.1081683427458*2</f>
        <v>42.216336685491598</v>
      </c>
      <c r="AM43" s="23">
        <f>36.5945263165645*2</f>
        <v>73.189052633128995</v>
      </c>
      <c r="AN43" s="23" t="s">
        <v>94</v>
      </c>
      <c r="AO43" s="23" t="s">
        <v>94</v>
      </c>
      <c r="AP43" s="23">
        <v>6.8238453871006799</v>
      </c>
      <c r="AQ43" s="23">
        <v>12.7607545551991</v>
      </c>
      <c r="AR43" s="23">
        <f>1.36275507978515*2</f>
        <v>2.7255101595703</v>
      </c>
      <c r="AS43" s="23">
        <f>11.6089235438333*2</f>
        <v>23.217847087666598</v>
      </c>
      <c r="AT43" s="23">
        <f>7.17708448919754*2</f>
        <v>14.35416897839508</v>
      </c>
      <c r="AU43" s="23">
        <f>9.18796095596986*2</f>
        <v>18.37592191193972</v>
      </c>
      <c r="AV43" s="23" t="s">
        <v>94</v>
      </c>
      <c r="AW43" s="23" t="s">
        <v>94</v>
      </c>
      <c r="AX43" s="23">
        <v>3.82112527237028</v>
      </c>
      <c r="AY43" s="23">
        <v>-2.1172263431510401</v>
      </c>
      <c r="AZ43" s="23" t="s">
        <v>94</v>
      </c>
      <c r="BA43" s="23" t="s">
        <v>94</v>
      </c>
      <c r="BB43" s="23">
        <v>2.9120586549935101</v>
      </c>
      <c r="BC43" s="23">
        <v>-1.6818333465184501</v>
      </c>
      <c r="BD43" s="23" t="s">
        <v>94</v>
      </c>
      <c r="BE43" s="23" t="s">
        <v>94</v>
      </c>
      <c r="BF43" s="23">
        <v>1.9212993853548599</v>
      </c>
      <c r="BG43" s="23">
        <v>-0.117021998582113</v>
      </c>
      <c r="BH43" s="23" t="s">
        <v>94</v>
      </c>
      <c r="BI43" s="23" t="s">
        <v>94</v>
      </c>
      <c r="BJ43" s="23">
        <v>0.65652302165383503</v>
      </c>
      <c r="BK43" s="36">
        <v>-5.2893080375646197E-2</v>
      </c>
      <c r="BL43" s="2"/>
      <c r="BM43" s="35" t="s">
        <v>94</v>
      </c>
      <c r="BN43" s="21" t="s">
        <v>94</v>
      </c>
      <c r="BO43" s="25">
        <v>0.12496947301415</v>
      </c>
      <c r="BP43" s="21">
        <v>55.130293377832203</v>
      </c>
      <c r="BQ43" s="25" t="s">
        <v>94</v>
      </c>
      <c r="BR43" s="21" t="s">
        <v>94</v>
      </c>
      <c r="BS43" s="25">
        <v>0.12497784810338999</v>
      </c>
      <c r="BT43" s="32">
        <v>69.330881542674007</v>
      </c>
      <c r="BV43" s="37">
        <f>7041092/1000000</f>
        <v>7.0410919999999999</v>
      </c>
      <c r="BW43" s="1">
        <v>1000</v>
      </c>
      <c r="BX43" s="1">
        <v>750</v>
      </c>
      <c r="BY43" s="21">
        <v>4.5984939587772597</v>
      </c>
      <c r="BZ43" s="21">
        <v>20.787315120397999</v>
      </c>
      <c r="CA43" s="45">
        <v>7.9097852985111605E-6</v>
      </c>
      <c r="CB43" s="45">
        <v>5.21166104812855E-3</v>
      </c>
      <c r="CC43" s="45">
        <v>1.4584217886509101E-4</v>
      </c>
      <c r="CD43" s="45">
        <v>4.0127193458142698E-4</v>
      </c>
      <c r="CE43" s="45">
        <v>2.1422849964137399E-4</v>
      </c>
      <c r="CF43" s="45">
        <v>2.6302352443381E-4</v>
      </c>
      <c r="CG43" s="23"/>
      <c r="CH43" s="21">
        <v>17.004817962646399</v>
      </c>
      <c r="CI43" s="21"/>
      <c r="CJ43" s="38"/>
      <c r="CL43" s="88">
        <v>0</v>
      </c>
      <c r="CM43" s="1">
        <f>-129.701888002181*2</f>
        <v>-259.40377600436199</v>
      </c>
      <c r="CN43" s="20">
        <v>0</v>
      </c>
    </row>
    <row r="44" spans="2:92" s="1" customFormat="1" x14ac:dyDescent="0.25">
      <c r="B44" s="2" t="s">
        <v>238</v>
      </c>
      <c r="C44" s="1" t="s">
        <v>191</v>
      </c>
      <c r="D44" s="20" t="s">
        <v>267</v>
      </c>
      <c r="E44" s="19">
        <v>60</v>
      </c>
      <c r="F44" s="1">
        <v>60</v>
      </c>
      <c r="G44" s="21">
        <v>0</v>
      </c>
      <c r="H44" s="21">
        <v>0</v>
      </c>
      <c r="I44" s="21">
        <v>0</v>
      </c>
      <c r="J44" s="21">
        <v>0</v>
      </c>
      <c r="K44" s="21">
        <f t="shared" ref="K44:K71" si="16">IF(OR(ISBLANK($E44),ISBLANK($F44)),"",DEGREES(ASIN(($F44-$E44)/1540)))</f>
        <v>0</v>
      </c>
      <c r="L44" s="1">
        <v>0</v>
      </c>
      <c r="M44" s="14">
        <v>11</v>
      </c>
      <c r="N44" s="24">
        <f>57.253294717753*2</f>
        <v>114.506589435506</v>
      </c>
      <c r="O44" s="23">
        <v>0</v>
      </c>
      <c r="P44" s="23">
        <f>130.419864378694*2</f>
        <v>260.839728757388</v>
      </c>
      <c r="Q44" s="23">
        <f t="shared" ref="Q44:Q69" si="17">IF(OR(ISERROR($P44*$X44/100),$X44=0),"",$P44*$X44/100)</f>
        <v>88.291811245293189</v>
      </c>
      <c r="R44" s="23">
        <f t="shared" ref="R44:R69" si="18">IF(OR(ISERROR($P44*(1-($X44/100))),$X44=0),"",$P44*(1-($X44/100)))</f>
        <v>172.54791751209481</v>
      </c>
      <c r="S44" s="25">
        <f t="shared" ref="S44:S71" si="19">IF(OR(ISERROR($P44/$N44),$P44=0),"",$P44/$N44)</f>
        <v>2.2779451387319662</v>
      </c>
      <c r="T44" s="21">
        <v>0</v>
      </c>
      <c r="U44" s="21">
        <f>-9.92609453823426*2</f>
        <v>-19.85218907646852</v>
      </c>
      <c r="V44" s="21">
        <v>0</v>
      </c>
      <c r="W44" s="21">
        <f t="shared" si="12"/>
        <v>50</v>
      </c>
      <c r="X44" s="32">
        <f t="shared" ref="X44:X55" si="20">IF(OR(ISERROR(100-(-$CM44*100)/(1.54*$P44)),$CM44=0),"",100-(-$CM44*100)/(1.54*$P44))</f>
        <v>33.849065733163329</v>
      </c>
      <c r="Y44" s="35">
        <f t="shared" si="11"/>
        <v>1.5450374691921873</v>
      </c>
      <c r="Z44" s="25">
        <f t="shared" si="15"/>
        <v>0</v>
      </c>
      <c r="AA44" s="25">
        <f t="shared" si="8"/>
        <v>3.5195105921050831</v>
      </c>
      <c r="AB44" s="25">
        <f t="shared" si="13"/>
        <v>0</v>
      </c>
      <c r="AC44" s="25">
        <f t="shared" si="10"/>
        <v>-0.26786559725374959</v>
      </c>
      <c r="AD44" s="34">
        <f t="shared" si="14"/>
        <v>0</v>
      </c>
      <c r="AE44" s="2"/>
      <c r="AF44" s="24" t="s">
        <v>94</v>
      </c>
      <c r="AG44" s="23" t="s">
        <v>94</v>
      </c>
      <c r="AH44" s="23">
        <v>4.8293853030045497</v>
      </c>
      <c r="AI44" s="23">
        <v>40.270958797321697</v>
      </c>
      <c r="AJ44" s="23">
        <f>3.8160753830051*2</f>
        <v>7.6321507660102004</v>
      </c>
      <c r="AK44" s="23">
        <f>26.5463098594384*2</f>
        <v>53.092619718876797</v>
      </c>
      <c r="AL44" s="23">
        <f>22.2738021322121*2</f>
        <v>44.547604264424201</v>
      </c>
      <c r="AM44" s="23">
        <f>38.5588083511365*2</f>
        <v>77.117616702272997</v>
      </c>
      <c r="AN44" s="23" t="s">
        <v>94</v>
      </c>
      <c r="AO44" s="23" t="s">
        <v>94</v>
      </c>
      <c r="AP44" s="23">
        <v>6.6834421902447403</v>
      </c>
      <c r="AQ44" s="23">
        <v>12.933157541083</v>
      </c>
      <c r="AR44" s="23">
        <f>1.39556710060783*2</f>
        <v>2.7911342012156601</v>
      </c>
      <c r="AS44" s="23">
        <f>10.7920847102823*2</f>
        <v>21.584169420564599</v>
      </c>
      <c r="AT44" s="23">
        <f>7.32674962595672*2</f>
        <v>14.653499251913439</v>
      </c>
      <c r="AU44" s="23">
        <f>8.58687673597925*2</f>
        <v>17.173753471958499</v>
      </c>
      <c r="AV44" s="23" t="s">
        <v>94</v>
      </c>
      <c r="AW44" s="23" t="s">
        <v>94</v>
      </c>
      <c r="AX44" s="23">
        <v>3.7389030268500099</v>
      </c>
      <c r="AY44" s="23">
        <v>-2.0797771792344202</v>
      </c>
      <c r="AZ44" s="23" t="s">
        <v>94</v>
      </c>
      <c r="BA44" s="23" t="s">
        <v>94</v>
      </c>
      <c r="BB44" s="23">
        <v>3.0468502113600202</v>
      </c>
      <c r="BC44" s="23">
        <v>-1.53332907926123</v>
      </c>
      <c r="BD44" s="23" t="s">
        <v>94</v>
      </c>
      <c r="BE44" s="23" t="s">
        <v>94</v>
      </c>
      <c r="BF44" s="23">
        <v>2.0377221614224501</v>
      </c>
      <c r="BG44" s="23">
        <v>-0.219812851608678</v>
      </c>
      <c r="BH44" s="23" t="s">
        <v>94</v>
      </c>
      <c r="BI44" s="23" t="s">
        <v>94</v>
      </c>
      <c r="BJ44" s="23">
        <v>0.68492275892275201</v>
      </c>
      <c r="BK44" s="36">
        <v>4.7566251083841398E-3</v>
      </c>
      <c r="BL44" s="2"/>
      <c r="BM44" s="35" t="s">
        <v>94</v>
      </c>
      <c r="BN44" s="21" t="s">
        <v>94</v>
      </c>
      <c r="BO44" s="25">
        <v>0.12533974853854901</v>
      </c>
      <c r="BP44" s="21">
        <v>56.561499931909196</v>
      </c>
      <c r="BQ44" s="25" t="s">
        <v>94</v>
      </c>
      <c r="BR44" s="21" t="s">
        <v>94</v>
      </c>
      <c r="BS44" s="25">
        <v>0.12534679530586301</v>
      </c>
      <c r="BT44" s="32">
        <v>67.941412760800105</v>
      </c>
      <c r="BV44" s="37">
        <f>7064368/1000000</f>
        <v>7.064368</v>
      </c>
      <c r="BW44" s="1">
        <v>1000</v>
      </c>
      <c r="BX44" s="1">
        <v>750</v>
      </c>
      <c r="BY44" s="21">
        <v>4.2147358088604703</v>
      </c>
      <c r="BZ44" s="21">
        <v>16.9066938723949</v>
      </c>
      <c r="CA44" s="45">
        <v>6.2153806553506103E-6</v>
      </c>
      <c r="CB44" s="45">
        <v>4.4178624150156501E-3</v>
      </c>
      <c r="CC44" s="45">
        <v>1.0732459103988499E-4</v>
      </c>
      <c r="CD44" s="45">
        <v>2.9886304467724602E-4</v>
      </c>
      <c r="CE44" s="45">
        <v>1.57423543585329E-4</v>
      </c>
      <c r="CF44" s="45">
        <v>2.0226465879865399E-4</v>
      </c>
      <c r="CG44" s="23"/>
      <c r="CH44" s="21">
        <v>23.7359504699707</v>
      </c>
      <c r="CI44" s="21"/>
      <c r="CJ44" s="38"/>
      <c r="CL44" s="88">
        <v>0</v>
      </c>
      <c r="CM44" s="1">
        <f>-132.861896484313*2</f>
        <v>-265.72379296862601</v>
      </c>
      <c r="CN44" s="20">
        <v>0</v>
      </c>
    </row>
    <row r="45" spans="2:92" s="1" customFormat="1" x14ac:dyDescent="0.25">
      <c r="B45" s="2" t="s">
        <v>239</v>
      </c>
      <c r="C45" s="1" t="s">
        <v>192</v>
      </c>
      <c r="D45" s="20" t="s">
        <v>267</v>
      </c>
      <c r="E45" s="19">
        <v>20</v>
      </c>
      <c r="F45" s="1">
        <v>70</v>
      </c>
      <c r="G45" s="21">
        <v>0</v>
      </c>
      <c r="H45" s="21">
        <v>0</v>
      </c>
      <c r="I45" s="21">
        <v>0</v>
      </c>
      <c r="J45" s="21">
        <v>0</v>
      </c>
      <c r="K45" s="21">
        <f t="shared" si="16"/>
        <v>1.8605795647082228</v>
      </c>
      <c r="L45" s="1">
        <v>0</v>
      </c>
      <c r="M45" s="14">
        <v>11</v>
      </c>
      <c r="N45" s="24">
        <f>53.9728199141045*2</f>
        <v>107.945639828209</v>
      </c>
      <c r="O45" s="23">
        <v>0</v>
      </c>
      <c r="P45" s="23">
        <f>114.081861015044*2</f>
        <v>228.163722030088</v>
      </c>
      <c r="Q45" s="23">
        <f t="shared" si="17"/>
        <v>73.865641838610088</v>
      </c>
      <c r="R45" s="23">
        <f t="shared" si="18"/>
        <v>154.29808019147791</v>
      </c>
      <c r="S45" s="25">
        <f t="shared" si="19"/>
        <v>2.1136909503079613</v>
      </c>
      <c r="T45" s="21">
        <v>0</v>
      </c>
      <c r="U45" s="21">
        <f>-10.0988594367523*2</f>
        <v>-20.197718873504598</v>
      </c>
      <c r="V45" s="21">
        <v>0</v>
      </c>
      <c r="W45" s="21">
        <f t="shared" si="12"/>
        <v>50</v>
      </c>
      <c r="X45" s="32">
        <f t="shared" si="20"/>
        <v>32.373964266269027</v>
      </c>
      <c r="Y45" s="35">
        <f t="shared" si="11"/>
        <v>1.4565105728211702</v>
      </c>
      <c r="Z45" s="25">
        <f t="shared" si="15"/>
        <v>0</v>
      </c>
      <c r="AA45" s="25">
        <f t="shared" si="8"/>
        <v>3.0786132167999725</v>
      </c>
      <c r="AB45" s="25">
        <f t="shared" si="13"/>
        <v>0</v>
      </c>
      <c r="AC45" s="25">
        <f t="shared" si="10"/>
        <v>-0.27252783097999117</v>
      </c>
      <c r="AD45" s="34">
        <f t="shared" si="14"/>
        <v>0</v>
      </c>
      <c r="AE45" s="2"/>
      <c r="AF45" s="24" t="s">
        <v>94</v>
      </c>
      <c r="AG45" s="23" t="s">
        <v>94</v>
      </c>
      <c r="AH45" s="23">
        <v>3.9538075057592299</v>
      </c>
      <c r="AI45" s="23">
        <v>31.394749019138899</v>
      </c>
      <c r="AJ45" s="23">
        <f>4.21174043679357*2</f>
        <v>8.42348087358714</v>
      </c>
      <c r="AK45" s="23">
        <f>23.9349173644187*2</f>
        <v>47.869834728837397</v>
      </c>
      <c r="AL45" s="23">
        <f>22.414701895211*2</f>
        <v>44.829403790421999</v>
      </c>
      <c r="AM45" s="23">
        <f>36.9334160899576*2</f>
        <v>73.866832179915207</v>
      </c>
      <c r="AN45" s="23" t="s">
        <v>94</v>
      </c>
      <c r="AO45" s="23" t="s">
        <v>94</v>
      </c>
      <c r="AP45" s="23">
        <v>7.5189455942551797</v>
      </c>
      <c r="AQ45" s="23">
        <v>12.703523340302301</v>
      </c>
      <c r="AR45" s="23">
        <f>1.13727394886497*2</f>
        <v>2.2745478977299398</v>
      </c>
      <c r="AS45" s="23">
        <f>7.92951617096691*2</f>
        <v>15.859032341933821</v>
      </c>
      <c r="AT45" s="23">
        <f>6.96863484760778*2</f>
        <v>13.93726969521556</v>
      </c>
      <c r="AU45" s="23">
        <f>6.60983976691058*2</f>
        <v>13.219679533821161</v>
      </c>
      <c r="AV45" s="23" t="s">
        <v>94</v>
      </c>
      <c r="AW45" s="23" t="s">
        <v>94</v>
      </c>
      <c r="AX45" s="23">
        <v>2.4146226681221798</v>
      </c>
      <c r="AY45" s="23">
        <v>-1.6642725373317</v>
      </c>
      <c r="AZ45" s="23" t="s">
        <v>94</v>
      </c>
      <c r="BA45" s="23" t="s">
        <v>94</v>
      </c>
      <c r="BB45" s="23">
        <v>2.6548113318800901</v>
      </c>
      <c r="BC45" s="23">
        <v>-1.15315757298429</v>
      </c>
      <c r="BD45" s="23" t="s">
        <v>94</v>
      </c>
      <c r="BE45" s="23" t="s">
        <v>94</v>
      </c>
      <c r="BF45" s="23">
        <v>1.5044612195629801</v>
      </c>
      <c r="BG45" s="23">
        <v>8.2345031220148496E-2</v>
      </c>
      <c r="BH45" s="23" t="s">
        <v>94</v>
      </c>
      <c r="BI45" s="23" t="s">
        <v>94</v>
      </c>
      <c r="BJ45" s="23">
        <v>0.329687682528917</v>
      </c>
      <c r="BK45" s="36">
        <v>7.9577069511239801E-2</v>
      </c>
      <c r="BL45" s="2"/>
      <c r="BM45" s="35" t="s">
        <v>94</v>
      </c>
      <c r="BN45" s="21" t="s">
        <v>94</v>
      </c>
      <c r="BO45" s="25">
        <v>0.121520959729731</v>
      </c>
      <c r="BP45" s="21">
        <v>50.164366245883897</v>
      </c>
      <c r="BQ45" s="25" t="s">
        <v>94</v>
      </c>
      <c r="BR45" s="21" t="s">
        <v>94</v>
      </c>
      <c r="BS45" s="25">
        <v>0.121520931978711</v>
      </c>
      <c r="BT45" s="32">
        <v>78.694652903816305</v>
      </c>
      <c r="BV45" s="37">
        <f>7062647/1000000</f>
        <v>7.0626470000000001</v>
      </c>
      <c r="BW45" s="1">
        <v>1000</v>
      </c>
      <c r="BX45" s="1">
        <v>750</v>
      </c>
      <c r="BY45" s="21">
        <v>4.8083620471644402</v>
      </c>
      <c r="BZ45" s="21">
        <v>19.239266675195601</v>
      </c>
      <c r="CA45" s="45">
        <v>5.7656576882100197E-6</v>
      </c>
      <c r="CB45" s="45">
        <v>4.7541934876609397E-3</v>
      </c>
      <c r="CC45" s="45">
        <v>1.40783419216241E-4</v>
      </c>
      <c r="CD45" s="45">
        <v>3.2623257919695502E-4</v>
      </c>
      <c r="CE45" s="45">
        <v>1.4968323698536E-4</v>
      </c>
      <c r="CF45" s="45">
        <v>2.0599262179303801E-4</v>
      </c>
      <c r="CG45" s="23"/>
      <c r="CH45" s="21">
        <v>23.6632995605468</v>
      </c>
      <c r="CI45" s="21"/>
      <c r="CJ45" s="38"/>
      <c r="CL45" s="88">
        <v>0</v>
      </c>
      <c r="CM45" s="1">
        <f>-118.809521747438*2</f>
        <v>-237.619043494876</v>
      </c>
      <c r="CN45" s="20">
        <v>0</v>
      </c>
    </row>
    <row r="46" spans="2:92" s="1" customFormat="1" x14ac:dyDescent="0.25">
      <c r="B46" s="2" t="s">
        <v>240</v>
      </c>
      <c r="C46" s="1" t="s">
        <v>193</v>
      </c>
      <c r="D46" s="20" t="s">
        <v>267</v>
      </c>
      <c r="E46" s="19">
        <v>50</v>
      </c>
      <c r="F46" s="1">
        <v>20</v>
      </c>
      <c r="G46" s="21">
        <v>0</v>
      </c>
      <c r="H46" s="21">
        <v>0</v>
      </c>
      <c r="I46" s="21">
        <v>0</v>
      </c>
      <c r="J46" s="21">
        <v>0</v>
      </c>
      <c r="K46" s="21">
        <f t="shared" si="16"/>
        <v>-1.1162221558585421</v>
      </c>
      <c r="L46" s="1">
        <v>0</v>
      </c>
      <c r="M46" s="14">
        <v>11</v>
      </c>
      <c r="N46" s="24">
        <f>55.6374959747506*2</f>
        <v>111.2749919495012</v>
      </c>
      <c r="O46" s="23">
        <v>0</v>
      </c>
      <c r="P46" s="23">
        <f>117.70830196388*2</f>
        <v>235.41660392776001</v>
      </c>
      <c r="Q46" s="23">
        <f t="shared" si="17"/>
        <v>58.93191688419639</v>
      </c>
      <c r="R46" s="23">
        <f t="shared" si="18"/>
        <v>176.48468704356361</v>
      </c>
      <c r="S46" s="25">
        <f t="shared" si="19"/>
        <v>2.1156290358088432</v>
      </c>
      <c r="T46" s="21">
        <v>0</v>
      </c>
      <c r="U46" s="21">
        <f>-23.7422523163482*2</f>
        <v>-47.4845046326964</v>
      </c>
      <c r="V46" s="21">
        <v>0</v>
      </c>
      <c r="W46" s="21">
        <f t="shared" si="12"/>
        <v>50</v>
      </c>
      <c r="X46" s="32">
        <f t="shared" si="20"/>
        <v>25.033033312416762</v>
      </c>
      <c r="Y46" s="35">
        <f t="shared" si="11"/>
        <v>1.5014335226783766</v>
      </c>
      <c r="Z46" s="25">
        <f t="shared" si="15"/>
        <v>0</v>
      </c>
      <c r="AA46" s="25">
        <f t="shared" si="8"/>
        <v>3.1764763559151286</v>
      </c>
      <c r="AB46" s="25">
        <f t="shared" si="13"/>
        <v>0</v>
      </c>
      <c r="AC46" s="25">
        <f t="shared" si="10"/>
        <v>-0.64070844503553914</v>
      </c>
      <c r="AD46" s="34">
        <f t="shared" si="14"/>
        <v>0</v>
      </c>
      <c r="AE46" s="2"/>
      <c r="AF46" s="24" t="s">
        <v>94</v>
      </c>
      <c r="AG46" s="23" t="s">
        <v>94</v>
      </c>
      <c r="AH46" s="23">
        <v>4.1206532692209796</v>
      </c>
      <c r="AI46" s="23">
        <v>25.442690276701601</v>
      </c>
      <c r="AJ46" s="23">
        <f>3.44185368318234*2</f>
        <v>6.8837073663646802</v>
      </c>
      <c r="AK46" s="23">
        <f>22.6971604551387*2</f>
        <v>45.394320910277401</v>
      </c>
      <c r="AL46" s="23">
        <f>20.0375759471144*2</f>
        <v>40.075151894228803</v>
      </c>
      <c r="AM46" s="23">
        <f>37.7471408558187*2</f>
        <v>75.494281711637399</v>
      </c>
      <c r="AN46" s="23" t="s">
        <v>94</v>
      </c>
      <c r="AO46" s="23" t="s">
        <v>94</v>
      </c>
      <c r="AP46" s="23">
        <v>7.4269958328010297</v>
      </c>
      <c r="AQ46" s="23">
        <v>11.899383099109199</v>
      </c>
      <c r="AR46" s="23">
        <f>1.55192020611674*2</f>
        <v>3.1038404122334802</v>
      </c>
      <c r="AS46" s="23">
        <f>22.2259157975251*2</f>
        <v>44.451831595050201</v>
      </c>
      <c r="AT46" s="23">
        <f>7.18636883671933*2</f>
        <v>14.37273767343866</v>
      </c>
      <c r="AU46" s="23">
        <f>3.62571869899806*2</f>
        <v>7.2514373979961197</v>
      </c>
      <c r="AV46" s="23" t="s">
        <v>94</v>
      </c>
      <c r="AW46" s="23" t="s">
        <v>94</v>
      </c>
      <c r="AX46" s="23">
        <v>4.9501874037562299</v>
      </c>
      <c r="AY46" s="23">
        <v>-1.35165480077172</v>
      </c>
      <c r="AZ46" s="23" t="s">
        <v>94</v>
      </c>
      <c r="BA46" s="23" t="s">
        <v>94</v>
      </c>
      <c r="BB46" s="23">
        <v>2.8365239525519899</v>
      </c>
      <c r="BC46" s="23">
        <v>-1.5726195409585799</v>
      </c>
      <c r="BD46" s="23" t="s">
        <v>94</v>
      </c>
      <c r="BE46" s="23" t="s">
        <v>94</v>
      </c>
      <c r="BF46" s="23">
        <v>2.1368527354424498</v>
      </c>
      <c r="BG46" s="23">
        <v>-7.8614107150978996E-2</v>
      </c>
      <c r="BH46" s="23" t="s">
        <v>94</v>
      </c>
      <c r="BI46" s="23" t="s">
        <v>94</v>
      </c>
      <c r="BJ46" s="23">
        <v>0.46554344735648601</v>
      </c>
      <c r="BK46" s="36">
        <v>-7.7583689509045498E-2</v>
      </c>
      <c r="BL46" s="2"/>
      <c r="BM46" s="35" t="s">
        <v>94</v>
      </c>
      <c r="BN46" s="21" t="s">
        <v>94</v>
      </c>
      <c r="BO46" s="25">
        <v>0.12547650798950499</v>
      </c>
      <c r="BP46" s="21">
        <v>55.473797848414897</v>
      </c>
      <c r="BQ46" s="25" t="s">
        <v>94</v>
      </c>
      <c r="BR46" s="21" t="s">
        <v>94</v>
      </c>
      <c r="BS46" s="25">
        <v>0.125459486661921</v>
      </c>
      <c r="BT46" s="32">
        <v>67.1672917722275</v>
      </c>
      <c r="BV46" s="37">
        <f>7226276/1000000</f>
        <v>7.2262760000000004</v>
      </c>
      <c r="BW46" s="1">
        <v>1000</v>
      </c>
      <c r="BX46" s="1">
        <v>750</v>
      </c>
      <c r="BY46" s="21">
        <v>5.3069075368351797</v>
      </c>
      <c r="BZ46" s="21">
        <v>23.4008480816073</v>
      </c>
      <c r="CA46" s="45">
        <v>6.5006821321386901E-6</v>
      </c>
      <c r="CB46" s="45">
        <v>6.2388077715481403E-3</v>
      </c>
      <c r="CC46" s="45">
        <v>1.1654550490453E-4</v>
      </c>
      <c r="CD46" s="45">
        <v>3.65204188990948E-4</v>
      </c>
      <c r="CE46" s="45">
        <v>1.73556073713562E-4</v>
      </c>
      <c r="CF46" s="45">
        <v>2.3602882234787599E-4</v>
      </c>
      <c r="CG46" s="23"/>
      <c r="CH46" s="21">
        <v>24.3147583007812</v>
      </c>
      <c r="CI46" s="21"/>
      <c r="CJ46" s="38"/>
      <c r="CL46" s="88">
        <v>0</v>
      </c>
      <c r="CM46" s="1">
        <f>-135.893209023544*2</f>
        <v>-271.78641804708798</v>
      </c>
      <c r="CN46" s="20">
        <v>0</v>
      </c>
    </row>
    <row r="47" spans="2:92" s="1" customFormat="1" x14ac:dyDescent="0.25">
      <c r="B47" s="2" t="s">
        <v>241</v>
      </c>
      <c r="C47" s="1" t="s">
        <v>211</v>
      </c>
      <c r="D47" s="20" t="s">
        <v>267</v>
      </c>
      <c r="E47" s="19">
        <v>30</v>
      </c>
      <c r="F47" s="1">
        <v>20</v>
      </c>
      <c r="G47" s="21">
        <v>0</v>
      </c>
      <c r="H47" s="21">
        <v>0</v>
      </c>
      <c r="I47" s="21">
        <v>0</v>
      </c>
      <c r="J47" s="21">
        <v>0</v>
      </c>
      <c r="K47" s="21">
        <f t="shared" si="16"/>
        <v>-0.37205313099218568</v>
      </c>
      <c r="L47" s="1">
        <v>0</v>
      </c>
      <c r="M47" s="14">
        <v>11</v>
      </c>
      <c r="N47" s="24">
        <f>55.2917390574302*2</f>
        <v>110.5834781148604</v>
      </c>
      <c r="O47" s="23">
        <v>0</v>
      </c>
      <c r="P47" s="23">
        <f>112.771119478595*2</f>
        <v>225.54223895718999</v>
      </c>
      <c r="Q47" s="23">
        <f t="shared" si="17"/>
        <v>63.694975340210775</v>
      </c>
      <c r="R47" s="23">
        <f t="shared" si="18"/>
        <v>161.84726361697923</v>
      </c>
      <c r="S47" s="25">
        <f t="shared" si="19"/>
        <v>2.0395654287788334</v>
      </c>
      <c r="T47" s="21">
        <v>0</v>
      </c>
      <c r="U47" s="21">
        <f>-16.5751701672891*2</f>
        <v>-33.150340334578203</v>
      </c>
      <c r="V47" s="21">
        <v>0</v>
      </c>
      <c r="W47" s="21">
        <f t="shared" si="12"/>
        <v>50</v>
      </c>
      <c r="X47" s="32">
        <f t="shared" si="20"/>
        <v>28.240818941369412</v>
      </c>
      <c r="Y47" s="35">
        <f t="shared" si="11"/>
        <v>1.4921029261576708</v>
      </c>
      <c r="Z47" s="25">
        <f t="shared" si="15"/>
        <v>0</v>
      </c>
      <c r="AA47" s="25">
        <f t="shared" si="8"/>
        <v>3.0432415443709222</v>
      </c>
      <c r="AB47" s="25">
        <f t="shared" si="13"/>
        <v>0</v>
      </c>
      <c r="AC47" s="25">
        <f t="shared" si="10"/>
        <v>-0.44729755890812206</v>
      </c>
      <c r="AD47" s="34">
        <f t="shared" si="14"/>
        <v>0</v>
      </c>
      <c r="AE47" s="2"/>
      <c r="AF47" s="24" t="s">
        <v>94</v>
      </c>
      <c r="AG47" s="23" t="s">
        <v>94</v>
      </c>
      <c r="AH47" s="23">
        <v>3.5967777909632699</v>
      </c>
      <c r="AI47" s="23">
        <v>21.909643476922799</v>
      </c>
      <c r="AJ47" s="23">
        <f>3.71722203596529*2</f>
        <v>7.4344440719305798</v>
      </c>
      <c r="AK47" s="23">
        <f>26.3091061812592*2</f>
        <v>52.618212362518399</v>
      </c>
      <c r="AL47" s="23">
        <f>21.0149455988546*2</f>
        <v>42.029891197709198</v>
      </c>
      <c r="AM47" s="23">
        <f>38.8983931901837*2</f>
        <v>77.796786380367394</v>
      </c>
      <c r="AN47" s="23" t="s">
        <v>94</v>
      </c>
      <c r="AO47" s="23" t="s">
        <v>94</v>
      </c>
      <c r="AP47" s="23">
        <v>7.3441190691220104</v>
      </c>
      <c r="AQ47" s="23">
        <v>11.4454462244254</v>
      </c>
      <c r="AR47" s="23">
        <f>1.50499322961045*2</f>
        <v>3.0099864592209</v>
      </c>
      <c r="AS47" s="23">
        <f>17.8546597344189*2</f>
        <v>35.709319468837798</v>
      </c>
      <c r="AT47" s="23">
        <f>7.15412334111817*2</f>
        <v>14.308246682236341</v>
      </c>
      <c r="AU47" s="23">
        <f>2.6856464187192*2</f>
        <v>5.3712928374383999</v>
      </c>
      <c r="AV47" s="23" t="s">
        <v>94</v>
      </c>
      <c r="AW47" s="23" t="s">
        <v>94</v>
      </c>
      <c r="AX47" s="23">
        <v>4.4033563292872104</v>
      </c>
      <c r="AY47" s="23">
        <v>-1.7238631392562</v>
      </c>
      <c r="AZ47" s="23" t="s">
        <v>94</v>
      </c>
      <c r="BA47" s="23" t="s">
        <v>94</v>
      </c>
      <c r="BB47" s="23">
        <v>2.8150508685731799</v>
      </c>
      <c r="BC47" s="23">
        <v>-1.2936406747996101</v>
      </c>
      <c r="BD47" s="23" t="s">
        <v>94</v>
      </c>
      <c r="BE47" s="23" t="s">
        <v>94</v>
      </c>
      <c r="BF47" s="23">
        <v>1.79705161681655</v>
      </c>
      <c r="BG47" s="23">
        <v>-0.106848539045858</v>
      </c>
      <c r="BH47" s="23" t="s">
        <v>94</v>
      </c>
      <c r="BI47" s="23" t="s">
        <v>94</v>
      </c>
      <c r="BJ47" s="23">
        <v>0.471090239847681</v>
      </c>
      <c r="BK47" s="36">
        <v>-8.1476270185876304E-2</v>
      </c>
      <c r="BL47" s="2"/>
      <c r="BM47" s="35" t="s">
        <v>94</v>
      </c>
      <c r="BN47" s="21" t="s">
        <v>94</v>
      </c>
      <c r="BO47" s="25">
        <v>0.123605243286019</v>
      </c>
      <c r="BP47" s="21">
        <v>54.401716920187802</v>
      </c>
      <c r="BQ47" s="25" t="s">
        <v>94</v>
      </c>
      <c r="BR47" s="21" t="s">
        <v>94</v>
      </c>
      <c r="BS47" s="25">
        <v>0.123619394686941</v>
      </c>
      <c r="BT47" s="32">
        <v>69.266565824752604</v>
      </c>
      <c r="BV47" s="37">
        <f>7048061/1000000</f>
        <v>7.0480609999999997</v>
      </c>
      <c r="BW47" s="1">
        <v>1000</v>
      </c>
      <c r="BX47" s="1">
        <v>750</v>
      </c>
      <c r="BY47" s="21">
        <v>5.8728032282773803</v>
      </c>
      <c r="BZ47" s="21">
        <v>26.1782932191933</v>
      </c>
      <c r="CA47" s="45">
        <v>7.5024122511561099E-6</v>
      </c>
      <c r="CB47" s="45">
        <v>5.2852052840733797E-3</v>
      </c>
      <c r="CC47" s="45">
        <v>1.60469738489166E-4</v>
      </c>
      <c r="CD47" s="45">
        <v>4.67606385427182E-4</v>
      </c>
      <c r="CE47" s="45">
        <v>2.1594461207706799E-4</v>
      </c>
      <c r="CF47" s="45">
        <v>2.9330021839566801E-4</v>
      </c>
      <c r="CG47" s="23"/>
      <c r="CH47" s="21">
        <v>19.774467468261701</v>
      </c>
      <c r="CI47" s="21"/>
      <c r="CJ47" s="38"/>
      <c r="CL47" s="88">
        <v>0</v>
      </c>
      <c r="CM47" s="1">
        <f>-124.622392985074*2</f>
        <v>-249.244785970148</v>
      </c>
      <c r="CN47" s="20">
        <v>0</v>
      </c>
    </row>
    <row r="48" spans="2:92" s="1" customFormat="1" x14ac:dyDescent="0.25">
      <c r="B48" s="2" t="s">
        <v>242</v>
      </c>
      <c r="C48" s="1" t="s">
        <v>212</v>
      </c>
      <c r="D48" s="20" t="s">
        <v>267</v>
      </c>
      <c r="E48" s="19">
        <v>20</v>
      </c>
      <c r="F48" s="1">
        <v>20</v>
      </c>
      <c r="G48" s="21">
        <v>0</v>
      </c>
      <c r="H48" s="21">
        <v>0</v>
      </c>
      <c r="I48" s="21">
        <v>0</v>
      </c>
      <c r="J48" s="21">
        <v>0</v>
      </c>
      <c r="K48" s="21">
        <f t="shared" si="16"/>
        <v>0</v>
      </c>
      <c r="L48" s="1">
        <v>0</v>
      </c>
      <c r="M48" s="14">
        <v>11</v>
      </c>
      <c r="N48" s="24">
        <f>52.3444547422464*2</f>
        <v>104.6889094844928</v>
      </c>
      <c r="O48" s="23">
        <v>0</v>
      </c>
      <c r="P48" s="23">
        <f>103.933360378309*2</f>
        <v>207.86672075661801</v>
      </c>
      <c r="Q48" s="23">
        <f t="shared" si="17"/>
        <v>47.38256317820111</v>
      </c>
      <c r="R48" s="23">
        <f t="shared" si="18"/>
        <v>160.4841575784169</v>
      </c>
      <c r="S48" s="25">
        <f t="shared" si="19"/>
        <v>1.9855658233540829</v>
      </c>
      <c r="T48" s="21">
        <v>0</v>
      </c>
      <c r="U48" s="21">
        <f>-23.5745967623769*2</f>
        <v>-47.149193524753798</v>
      </c>
      <c r="V48" s="21">
        <v>0</v>
      </c>
      <c r="W48" s="21">
        <f t="shared" si="12"/>
        <v>50</v>
      </c>
      <c r="X48" s="32">
        <f t="shared" si="20"/>
        <v>22.794684500593661</v>
      </c>
      <c r="Y48" s="35">
        <f t="shared" si="11"/>
        <v>1.4125675086455427</v>
      </c>
      <c r="Z48" s="25">
        <f t="shared" si="15"/>
        <v>0</v>
      </c>
      <c r="AA48" s="25">
        <f t="shared" si="8"/>
        <v>2.8047457683470127</v>
      </c>
      <c r="AB48" s="25">
        <f t="shared" si="13"/>
        <v>0</v>
      </c>
      <c r="AC48" s="25">
        <f t="shared" si="10"/>
        <v>-0.63618409208640636</v>
      </c>
      <c r="AD48" s="34">
        <f t="shared" si="14"/>
        <v>0</v>
      </c>
      <c r="AE48" s="2"/>
      <c r="AF48" s="24" t="s">
        <v>94</v>
      </c>
      <c r="AG48" s="23" t="s">
        <v>94</v>
      </c>
      <c r="AH48" s="23">
        <v>3.4176318376649899</v>
      </c>
      <c r="AI48" s="23">
        <v>20.077071775829499</v>
      </c>
      <c r="AJ48" s="23">
        <f>3.15748101838302*2</f>
        <v>6.3149620367660404</v>
      </c>
      <c r="AK48" s="23">
        <f>20.9311354377385*2</f>
        <v>41.862270875477002</v>
      </c>
      <c r="AL48" s="23">
        <f>20.9955252959049*2</f>
        <v>41.991050591809802</v>
      </c>
      <c r="AM48" s="23">
        <f>37.6660033706906*2</f>
        <v>75.332006741381207</v>
      </c>
      <c r="AN48" s="23" t="s">
        <v>94</v>
      </c>
      <c r="AO48" s="23" t="s">
        <v>94</v>
      </c>
      <c r="AP48" s="23">
        <v>7.3252577470151001</v>
      </c>
      <c r="AQ48" s="23">
        <v>12.492611199506999</v>
      </c>
      <c r="AR48" s="23">
        <f>1.41863511754908*2</f>
        <v>2.8372702350981598</v>
      </c>
      <c r="AS48" s="23">
        <f>16.542667376604*2</f>
        <v>33.085334753208002</v>
      </c>
      <c r="AT48" s="23">
        <f>6.70261759395357*2</f>
        <v>13.40523518790714</v>
      </c>
      <c r="AU48" s="23">
        <f>2.59878871088778*2</f>
        <v>5.1975774217755601</v>
      </c>
      <c r="AV48" s="23" t="s">
        <v>94</v>
      </c>
      <c r="AW48" s="23" t="s">
        <v>94</v>
      </c>
      <c r="AX48" s="23">
        <v>3.75621789518252</v>
      </c>
      <c r="AY48" s="23">
        <v>-1.94900578395848</v>
      </c>
      <c r="AZ48" s="23" t="s">
        <v>94</v>
      </c>
      <c r="BA48" s="23" t="s">
        <v>94</v>
      </c>
      <c r="BB48" s="23">
        <v>2.5697676708452999</v>
      </c>
      <c r="BC48" s="23">
        <v>-1.3258922047798201</v>
      </c>
      <c r="BD48" s="23" t="s">
        <v>94</v>
      </c>
      <c r="BE48" s="23" t="s">
        <v>94</v>
      </c>
      <c r="BF48" s="23">
        <v>1.6305404280431599</v>
      </c>
      <c r="BG48" s="23">
        <v>-0.156407794868961</v>
      </c>
      <c r="BH48" s="23" t="s">
        <v>94</v>
      </c>
      <c r="BI48" s="23" t="s">
        <v>94</v>
      </c>
      <c r="BJ48" s="23">
        <v>0.19008837812527901</v>
      </c>
      <c r="BK48" s="36">
        <v>-8.8056282829970106E-2</v>
      </c>
      <c r="BL48" s="2"/>
      <c r="BM48" s="35" t="s">
        <v>94</v>
      </c>
      <c r="BN48" s="21" t="s">
        <v>94</v>
      </c>
      <c r="BO48" s="25">
        <v>0.124617253985412</v>
      </c>
      <c r="BP48" s="21">
        <v>54.981821736760402</v>
      </c>
      <c r="BQ48" s="25" t="s">
        <v>94</v>
      </c>
      <c r="BR48" s="21" t="s">
        <v>94</v>
      </c>
      <c r="BS48" s="25">
        <v>0.124634163398245</v>
      </c>
      <c r="BT48" s="32">
        <v>70.606538075154305</v>
      </c>
      <c r="BV48" s="37">
        <f>6986654/1000000</f>
        <v>6.9866539999999997</v>
      </c>
      <c r="BW48" s="1">
        <v>1000</v>
      </c>
      <c r="BX48" s="1">
        <v>750</v>
      </c>
      <c r="BY48" s="21">
        <v>4.3466870623891003</v>
      </c>
      <c r="BZ48" s="21">
        <v>17.114600515200699</v>
      </c>
      <c r="CA48" s="45">
        <v>6.6181133794384604E-6</v>
      </c>
      <c r="CB48" s="45">
        <v>5.2370088069382597E-3</v>
      </c>
      <c r="CC48" s="45">
        <v>1.5118536484100601E-4</v>
      </c>
      <c r="CD48" s="45">
        <v>4.0429451086264199E-4</v>
      </c>
      <c r="CE48" s="45">
        <v>2.0109632287759399E-4</v>
      </c>
      <c r="CF48" s="45">
        <v>2.6984163614389201E-4</v>
      </c>
      <c r="CG48" s="23"/>
      <c r="CH48" s="21">
        <v>19.8815803527832</v>
      </c>
      <c r="CI48" s="21"/>
      <c r="CJ48" s="38"/>
      <c r="CL48" s="88">
        <v>0</v>
      </c>
      <c r="CM48" s="1">
        <f>-123.572801335381*2</f>
        <v>-247.145602670762</v>
      </c>
      <c r="CN48" s="20">
        <v>0</v>
      </c>
    </row>
    <row r="49" spans="2:92" s="1" customFormat="1" x14ac:dyDescent="0.25">
      <c r="B49" s="2" t="s">
        <v>243</v>
      </c>
      <c r="C49" s="1" t="s">
        <v>213</v>
      </c>
      <c r="D49" s="20" t="s">
        <v>267</v>
      </c>
      <c r="E49" s="19">
        <v>20</v>
      </c>
      <c r="F49" s="1">
        <v>30</v>
      </c>
      <c r="G49" s="21">
        <v>0</v>
      </c>
      <c r="H49" s="21">
        <v>0</v>
      </c>
      <c r="I49" s="21">
        <v>0</v>
      </c>
      <c r="J49" s="21">
        <v>0</v>
      </c>
      <c r="K49" s="21">
        <f t="shared" si="16"/>
        <v>0.37205313099218562</v>
      </c>
      <c r="L49" s="1">
        <v>0</v>
      </c>
      <c r="M49" s="14">
        <v>11</v>
      </c>
      <c r="N49" s="24">
        <f>51.6947756418611*2</f>
        <v>103.3895512837222</v>
      </c>
      <c r="O49" s="23">
        <v>0</v>
      </c>
      <c r="P49" s="23">
        <f>102.519434726333*2</f>
        <v>205.03886945266601</v>
      </c>
      <c r="Q49" s="23">
        <f t="shared" si="17"/>
        <v>53.121294884514043</v>
      </c>
      <c r="R49" s="23">
        <f t="shared" si="18"/>
        <v>151.91757456815196</v>
      </c>
      <c r="S49" s="25">
        <f t="shared" si="19"/>
        <v>1.9831681916289312</v>
      </c>
      <c r="T49" s="21">
        <v>0</v>
      </c>
      <c r="U49" s="21">
        <f>-18.3198672679166*2</f>
        <v>-36.639734535833199</v>
      </c>
      <c r="V49" s="21">
        <v>0</v>
      </c>
      <c r="W49" s="21">
        <f t="shared" si="12"/>
        <v>50</v>
      </c>
      <c r="X49" s="32">
        <f t="shared" si="20"/>
        <v>25.907914448766164</v>
      </c>
      <c r="Y49" s="35">
        <f t="shared" si="11"/>
        <v>1.3950352677850859</v>
      </c>
      <c r="Z49" s="25">
        <f t="shared" si="15"/>
        <v>0</v>
      </c>
      <c r="AA49" s="25">
        <f t="shared" si="8"/>
        <v>2.7665895692719307</v>
      </c>
      <c r="AB49" s="25">
        <f t="shared" si="13"/>
        <v>0</v>
      </c>
      <c r="AC49" s="25">
        <f t="shared" si="10"/>
        <v>-0.49437995663124568</v>
      </c>
      <c r="AD49" s="34">
        <f t="shared" si="14"/>
        <v>0</v>
      </c>
      <c r="AE49" s="2"/>
      <c r="AF49" s="24" t="s">
        <v>94</v>
      </c>
      <c r="AG49" s="23" t="s">
        <v>94</v>
      </c>
      <c r="AH49" s="23">
        <v>3.5349676764703899</v>
      </c>
      <c r="AI49" s="23">
        <v>20.633376148886502</v>
      </c>
      <c r="AJ49" s="23">
        <f>3.24544968133529*2</f>
        <v>6.4908993626705804</v>
      </c>
      <c r="AK49" s="23">
        <f>22.569507020923*2</f>
        <v>45.139014041846004</v>
      </c>
      <c r="AL49" s="23">
        <f>20.4097273386312*2</f>
        <v>40.819454677262399</v>
      </c>
      <c r="AM49" s="23">
        <f>35.7140785564505*2</f>
        <v>71.428157112901005</v>
      </c>
      <c r="AN49" s="23" t="s">
        <v>94</v>
      </c>
      <c r="AO49" s="23" t="s">
        <v>94</v>
      </c>
      <c r="AP49" s="23">
        <v>7.5703379308288898</v>
      </c>
      <c r="AQ49" s="23">
        <v>12.848379412715399</v>
      </c>
      <c r="AR49" s="23">
        <f>1.38755698619492*2</f>
        <v>2.7751139723898399</v>
      </c>
      <c r="AS49" s="23">
        <f>14.0920189054828*2</f>
        <v>28.184037810965599</v>
      </c>
      <c r="AT49" s="23">
        <f>6.7523326181712*2</f>
        <v>13.504665236342399</v>
      </c>
      <c r="AU49" s="23">
        <f>3.07884292566087*2</f>
        <v>6.1576858513217401</v>
      </c>
      <c r="AV49" s="23" t="s">
        <v>94</v>
      </c>
      <c r="AW49" s="23" t="s">
        <v>94</v>
      </c>
      <c r="AX49" s="23">
        <v>3.3288978136585801</v>
      </c>
      <c r="AY49" s="23">
        <v>-1.9702069678101599</v>
      </c>
      <c r="AZ49" s="23" t="s">
        <v>94</v>
      </c>
      <c r="BA49" s="23" t="s">
        <v>94</v>
      </c>
      <c r="BB49" s="23">
        <v>2.49705565179304</v>
      </c>
      <c r="BC49" s="23">
        <v>-1.35875825098954</v>
      </c>
      <c r="BD49" s="23" t="s">
        <v>94</v>
      </c>
      <c r="BE49" s="23" t="s">
        <v>94</v>
      </c>
      <c r="BF49" s="23">
        <v>1.66116087088457</v>
      </c>
      <c r="BG49" s="23">
        <v>-0.19120840133924799</v>
      </c>
      <c r="BH49" s="23" t="s">
        <v>94</v>
      </c>
      <c r="BI49" s="23" t="s">
        <v>94</v>
      </c>
      <c r="BJ49" s="23">
        <v>0.24098924605011501</v>
      </c>
      <c r="BK49" s="36">
        <v>1.00640108510767E-2</v>
      </c>
      <c r="BL49" s="2"/>
      <c r="BM49" s="35" t="s">
        <v>94</v>
      </c>
      <c r="BN49" s="21" t="s">
        <v>94</v>
      </c>
      <c r="BO49" s="25">
        <v>0.12487943992534099</v>
      </c>
      <c r="BP49" s="21">
        <v>52.951842066203596</v>
      </c>
      <c r="BQ49" s="25" t="s">
        <v>94</v>
      </c>
      <c r="BR49" s="21" t="s">
        <v>94</v>
      </c>
      <c r="BS49" s="25">
        <v>0.12489351956397</v>
      </c>
      <c r="BT49" s="32">
        <v>69.618466713858794</v>
      </c>
      <c r="BV49" s="37">
        <f>7020839/1000000</f>
        <v>7.0208389999999996</v>
      </c>
      <c r="BW49" s="1">
        <v>1000</v>
      </c>
      <c r="BX49" s="1">
        <v>750</v>
      </c>
      <c r="BY49" s="21">
        <v>5.1381622994720804</v>
      </c>
      <c r="BZ49" s="21">
        <v>21.255968328802801</v>
      </c>
      <c r="CA49" s="45">
        <v>8.2632299601818192E-6</v>
      </c>
      <c r="CB49" s="45">
        <v>6.1824333572385801E-3</v>
      </c>
      <c r="CC49" s="45">
        <v>1.7860519342610199E-4</v>
      </c>
      <c r="CD49" s="45">
        <v>5.58976476252298E-4</v>
      </c>
      <c r="CE49" s="45">
        <v>2.57119110830806E-4</v>
      </c>
      <c r="CF49" s="45">
        <v>3.45126761525337E-4</v>
      </c>
      <c r="CG49" s="23"/>
      <c r="CH49" s="21">
        <v>24.261989593505799</v>
      </c>
      <c r="CI49" s="21"/>
      <c r="CJ49" s="38"/>
      <c r="CL49" s="88">
        <v>0</v>
      </c>
      <c r="CM49" s="1">
        <f>-116.976532417477*2</f>
        <v>-233.95306483495401</v>
      </c>
      <c r="CN49" s="20">
        <v>0</v>
      </c>
    </row>
    <row r="50" spans="2:92" s="1" customFormat="1" x14ac:dyDescent="0.25">
      <c r="B50" s="2" t="s">
        <v>244</v>
      </c>
      <c r="C50" s="1" t="s">
        <v>214</v>
      </c>
      <c r="D50" s="20" t="s">
        <v>267</v>
      </c>
      <c r="E50" s="19">
        <v>20</v>
      </c>
      <c r="F50" s="1">
        <v>50</v>
      </c>
      <c r="G50" s="21">
        <v>0</v>
      </c>
      <c r="H50" s="21">
        <v>0</v>
      </c>
      <c r="I50" s="21">
        <v>0</v>
      </c>
      <c r="J50" s="21">
        <v>0</v>
      </c>
      <c r="K50" s="21">
        <f t="shared" si="16"/>
        <v>1.1162221558585421</v>
      </c>
      <c r="L50" s="1">
        <v>0</v>
      </c>
      <c r="M50" s="14">
        <v>11</v>
      </c>
      <c r="N50" s="24">
        <f>53.560859944079*2</f>
        <v>107.121719888158</v>
      </c>
      <c r="O50" s="23">
        <v>0</v>
      </c>
      <c r="P50" s="23">
        <f>111.794559200034*2</f>
        <v>223.589118400068</v>
      </c>
      <c r="Q50" s="23">
        <f t="shared" si="17"/>
        <v>70.441642367988791</v>
      </c>
      <c r="R50" s="23">
        <f t="shared" si="18"/>
        <v>153.1474760320792</v>
      </c>
      <c r="S50" s="25">
        <f t="shared" si="19"/>
        <v>2.0872435453193758</v>
      </c>
      <c r="T50" s="21">
        <v>0</v>
      </c>
      <c r="U50" s="21">
        <f>-11.1901121071932*2</f>
        <v>-22.380224214386399</v>
      </c>
      <c r="V50" s="21">
        <v>0</v>
      </c>
      <c r="W50" s="21">
        <f t="shared" si="12"/>
        <v>50</v>
      </c>
      <c r="X50" s="32">
        <f t="shared" si="20"/>
        <v>31.504951078141275</v>
      </c>
      <c r="Y50" s="35">
        <f t="shared" si="11"/>
        <v>1.4453934206531689</v>
      </c>
      <c r="Z50" s="25">
        <f t="shared" si="15"/>
        <v>0</v>
      </c>
      <c r="AA50" s="25">
        <f t="shared" si="8"/>
        <v>3.0168880877054205</v>
      </c>
      <c r="AB50" s="25">
        <f t="shared" si="13"/>
        <v>0</v>
      </c>
      <c r="AC50" s="25">
        <f t="shared" si="10"/>
        <v>-0.30197637664882976</v>
      </c>
      <c r="AD50" s="34">
        <f t="shared" si="14"/>
        <v>0</v>
      </c>
      <c r="AE50" s="2"/>
      <c r="AF50" s="24" t="s">
        <v>94</v>
      </c>
      <c r="AG50" s="23" t="s">
        <v>94</v>
      </c>
      <c r="AH50" s="23">
        <v>4.1138650739648197</v>
      </c>
      <c r="AI50" s="23">
        <v>26.289751483104698</v>
      </c>
      <c r="AJ50" s="23">
        <f>3.7636474637607*2</f>
        <v>7.5272949275213996</v>
      </c>
      <c r="AK50" s="23">
        <f>26.064758139125*2</f>
        <v>52.129516278250001</v>
      </c>
      <c r="AL50" s="23">
        <f>21.9980763156432*2</f>
        <v>43.9961526312864</v>
      </c>
      <c r="AM50" s="23">
        <f>37.8604787268586*2</f>
        <v>75.720957453717205</v>
      </c>
      <c r="AN50" s="23" t="s">
        <v>94</v>
      </c>
      <c r="AO50" s="23" t="s">
        <v>94</v>
      </c>
      <c r="AP50" s="23">
        <v>7.2203469520193604</v>
      </c>
      <c r="AQ50" s="23">
        <v>12.9038189025761</v>
      </c>
      <c r="AR50" s="23">
        <f>1.29539109129168*2</f>
        <v>2.5907821825833599</v>
      </c>
      <c r="AS50" s="23">
        <f>10.8974256726697*2</f>
        <v>21.794851345339399</v>
      </c>
      <c r="AT50" s="23">
        <f>6.75039837619517*2</f>
        <v>13.50079675239034</v>
      </c>
      <c r="AU50" s="23">
        <f>4.53343175859548*2</f>
        <v>9.06686351719096</v>
      </c>
      <c r="AV50" s="23" t="s">
        <v>94</v>
      </c>
      <c r="AW50" s="23" t="s">
        <v>94</v>
      </c>
      <c r="AX50" s="23">
        <v>2.7691431100681201</v>
      </c>
      <c r="AY50" s="23">
        <v>-1.9134654309214501</v>
      </c>
      <c r="AZ50" s="23" t="s">
        <v>94</v>
      </c>
      <c r="BA50" s="23" t="s">
        <v>94</v>
      </c>
      <c r="BB50" s="23">
        <v>2.5760430534225902</v>
      </c>
      <c r="BC50" s="23">
        <v>-1.5661925133394099</v>
      </c>
      <c r="BD50" s="23" t="s">
        <v>94</v>
      </c>
      <c r="BE50" s="23" t="s">
        <v>94</v>
      </c>
      <c r="BF50" s="23">
        <v>1.52318639737687</v>
      </c>
      <c r="BG50" s="23">
        <v>-2.2014691880987799E-2</v>
      </c>
      <c r="BH50" s="23" t="s">
        <v>94</v>
      </c>
      <c r="BI50" s="23" t="s">
        <v>94</v>
      </c>
      <c r="BJ50" s="23">
        <v>0.35538993618881298</v>
      </c>
      <c r="BK50" s="36">
        <v>-0.202309474337868</v>
      </c>
      <c r="BL50" s="2"/>
      <c r="BM50" s="35" t="s">
        <v>94</v>
      </c>
      <c r="BN50" s="21" t="s">
        <v>94</v>
      </c>
      <c r="BO50" s="25">
        <v>0.1246028197953</v>
      </c>
      <c r="BP50" s="21">
        <v>53.5917846491053</v>
      </c>
      <c r="BQ50" s="25" t="s">
        <v>94</v>
      </c>
      <c r="BR50" s="21" t="s">
        <v>94</v>
      </c>
      <c r="BS50" s="25">
        <v>0.124602542780193</v>
      </c>
      <c r="BT50" s="32">
        <v>70.445981484588003</v>
      </c>
      <c r="BV50" s="37">
        <f>7017101/1000000</f>
        <v>7.0171010000000003</v>
      </c>
      <c r="BW50" s="1">
        <v>1000</v>
      </c>
      <c r="BX50" s="1">
        <v>750</v>
      </c>
      <c r="BY50" s="21">
        <v>4.3242178336104304</v>
      </c>
      <c r="BZ50" s="21">
        <v>17.398426952000701</v>
      </c>
      <c r="CA50" s="45">
        <v>6.4132485352438297E-6</v>
      </c>
      <c r="CB50" s="45">
        <v>5.9505162480773498E-3</v>
      </c>
      <c r="CC50" s="45">
        <v>1.3764239137754899E-4</v>
      </c>
      <c r="CD50" s="45">
        <v>3.40538219497324E-4</v>
      </c>
      <c r="CE50" s="45">
        <v>1.6148621137977999E-4</v>
      </c>
      <c r="CF50" s="45">
        <v>2.22129758765763E-4</v>
      </c>
      <c r="CG50" s="23"/>
      <c r="CH50" s="21">
        <v>23.768688201904201</v>
      </c>
      <c r="CI50" s="21"/>
      <c r="CJ50" s="38"/>
      <c r="CL50" s="88">
        <v>0</v>
      </c>
      <c r="CM50" s="1">
        <f>-117.923556544701*2</f>
        <v>-235.847113089402</v>
      </c>
      <c r="CN50" s="20">
        <v>0</v>
      </c>
    </row>
    <row r="51" spans="2:92" s="1" customFormat="1" x14ac:dyDescent="0.25">
      <c r="B51" s="2" t="s">
        <v>245</v>
      </c>
      <c r="C51" s="1" t="s">
        <v>215</v>
      </c>
      <c r="D51" s="20" t="s">
        <v>267</v>
      </c>
      <c r="E51" s="19">
        <v>20</v>
      </c>
      <c r="F51" s="1">
        <v>60</v>
      </c>
      <c r="G51" s="21">
        <v>0</v>
      </c>
      <c r="H51" s="21">
        <v>0</v>
      </c>
      <c r="I51" s="21">
        <v>0</v>
      </c>
      <c r="J51" s="21">
        <v>0</v>
      </c>
      <c r="K51" s="21">
        <f t="shared" si="16"/>
        <v>1.4883694520240416</v>
      </c>
      <c r="L51" s="1">
        <v>0</v>
      </c>
      <c r="M51" s="14">
        <v>11</v>
      </c>
      <c r="N51" s="24">
        <f>55.1049619383564*2</f>
        <v>110.20992387671281</v>
      </c>
      <c r="O51" s="23">
        <v>0</v>
      </c>
      <c r="P51" s="23">
        <f>115.050399357257*2</f>
        <v>230.10079871451401</v>
      </c>
      <c r="Q51" s="23">
        <f t="shared" si="17"/>
        <v>75.70338208493871</v>
      </c>
      <c r="R51" s="23">
        <f t="shared" si="18"/>
        <v>154.3974166295753</v>
      </c>
      <c r="S51" s="25">
        <f t="shared" si="19"/>
        <v>2.0878410094168842</v>
      </c>
      <c r="T51" s="21">
        <v>0</v>
      </c>
      <c r="U51" s="21">
        <f>-9.0488868040375*2</f>
        <v>-18.097773608074998</v>
      </c>
      <c r="V51" s="21">
        <v>0</v>
      </c>
      <c r="W51" s="21">
        <f t="shared" si="12"/>
        <v>50</v>
      </c>
      <c r="X51" s="32">
        <f t="shared" si="20"/>
        <v>32.900095309475162</v>
      </c>
      <c r="Y51" s="35">
        <f t="shared" si="11"/>
        <v>1.4870625586333317</v>
      </c>
      <c r="Z51" s="25">
        <f t="shared" si="15"/>
        <v>0</v>
      </c>
      <c r="AA51" s="25">
        <f t="shared" si="8"/>
        <v>3.1047501934830692</v>
      </c>
      <c r="AB51" s="25">
        <f t="shared" si="13"/>
        <v>0</v>
      </c>
      <c r="AC51" s="25">
        <f t="shared" si="10"/>
        <v>-0.24419326845100348</v>
      </c>
      <c r="AD51" s="34">
        <f t="shared" si="14"/>
        <v>0</v>
      </c>
      <c r="AE51" s="2"/>
      <c r="AF51" s="24" t="s">
        <v>94</v>
      </c>
      <c r="AG51" s="23" t="s">
        <v>94</v>
      </c>
      <c r="AH51" s="23">
        <v>4.2785047899900599</v>
      </c>
      <c r="AI51" s="23">
        <v>27.964077571751801</v>
      </c>
      <c r="AJ51" s="23">
        <f>4.03604629397788*2</f>
        <v>8.0720925879557601</v>
      </c>
      <c r="AK51" s="23">
        <f>27.1220950514693*2</f>
        <v>54.244190102938603</v>
      </c>
      <c r="AL51" s="23">
        <f>22.9031836102841*2</f>
        <v>45.806367220568198</v>
      </c>
      <c r="AM51" s="23">
        <f>39.2949565729032*2</f>
        <v>78.589913145806406</v>
      </c>
      <c r="AN51" s="23" t="s">
        <v>94</v>
      </c>
      <c r="AO51" s="23" t="s">
        <v>94</v>
      </c>
      <c r="AP51" s="23">
        <v>7.2195599397357402</v>
      </c>
      <c r="AQ51" s="23">
        <v>12.9170630427167</v>
      </c>
      <c r="AR51" s="23">
        <f>1.23784396347758*2</f>
        <v>2.4756879269551599</v>
      </c>
      <c r="AS51" s="23">
        <f>9.59303176310756*2</f>
        <v>19.186063526215118</v>
      </c>
      <c r="AT51" s="23">
        <f>7.03649698212027*2</f>
        <v>14.07299396424054</v>
      </c>
      <c r="AU51" s="23">
        <f>4.82046683388687*2</f>
        <v>9.6409336677737407</v>
      </c>
      <c r="AV51" s="23" t="s">
        <v>94</v>
      </c>
      <c r="AW51" s="23" t="s">
        <v>94</v>
      </c>
      <c r="AX51" s="23">
        <v>2.5718212524939599</v>
      </c>
      <c r="AY51" s="23">
        <v>-1.9571062084537301</v>
      </c>
      <c r="AZ51" s="23" t="s">
        <v>94</v>
      </c>
      <c r="BA51" s="23" t="s">
        <v>94</v>
      </c>
      <c r="BB51" s="23">
        <v>2.8913063411761599</v>
      </c>
      <c r="BC51" s="23">
        <v>-1.9186162608080899</v>
      </c>
      <c r="BD51" s="23" t="s">
        <v>94</v>
      </c>
      <c r="BE51" s="23" t="s">
        <v>94</v>
      </c>
      <c r="BF51" s="23">
        <v>1.3989512481909101</v>
      </c>
      <c r="BG51" s="23">
        <v>0.14163688719319001</v>
      </c>
      <c r="BH51" s="23" t="s">
        <v>94</v>
      </c>
      <c r="BI51" s="23" t="s">
        <v>94</v>
      </c>
      <c r="BJ51" s="23">
        <v>0.31753643942735998</v>
      </c>
      <c r="BK51" s="36">
        <v>-8.1922821047185596E-2</v>
      </c>
      <c r="BL51" s="2"/>
      <c r="BM51" s="35" t="s">
        <v>94</v>
      </c>
      <c r="BN51" s="21" t="s">
        <v>94</v>
      </c>
      <c r="BO51" s="25">
        <v>0.124471141900795</v>
      </c>
      <c r="BP51" s="21">
        <v>53.926470000762897</v>
      </c>
      <c r="BQ51" s="25" t="s">
        <v>94</v>
      </c>
      <c r="BR51" s="21" t="s">
        <v>94</v>
      </c>
      <c r="BS51" s="25">
        <v>0.124455391851159</v>
      </c>
      <c r="BT51" s="32">
        <v>71.276129635874298</v>
      </c>
      <c r="BV51" s="37">
        <f>6993633/1000000</f>
        <v>6.993633</v>
      </c>
      <c r="BW51" s="1">
        <v>1000</v>
      </c>
      <c r="BX51" s="1">
        <v>750</v>
      </c>
      <c r="BY51" s="21">
        <v>4.3204829350009701</v>
      </c>
      <c r="BZ51" s="21">
        <v>17.291185931209402</v>
      </c>
      <c r="CA51" s="45">
        <v>6.8128475523326196E-6</v>
      </c>
      <c r="CB51" s="45">
        <v>5.9582506589038802E-3</v>
      </c>
      <c r="CC51" s="45">
        <v>1.5346006349289699E-4</v>
      </c>
      <c r="CD51" s="45">
        <v>3.51396449021917E-4</v>
      </c>
      <c r="CE51" s="45">
        <v>1.72805462527924E-4</v>
      </c>
      <c r="CF51" s="45">
        <v>2.41323536087475E-4</v>
      </c>
      <c r="CG51" s="23"/>
      <c r="CH51" s="21">
        <v>21.051708221435501</v>
      </c>
      <c r="CI51" s="21"/>
      <c r="CJ51" s="38"/>
      <c r="CL51" s="88">
        <v>0</v>
      </c>
      <c r="CM51" s="1">
        <f>-118.886010804773*2</f>
        <v>-237.77202160954599</v>
      </c>
      <c r="CN51" s="20">
        <v>0</v>
      </c>
    </row>
    <row r="52" spans="2:92" s="1" customFormat="1" x14ac:dyDescent="0.25">
      <c r="B52" s="2" t="s">
        <v>246</v>
      </c>
      <c r="C52" s="1" t="s">
        <v>216</v>
      </c>
      <c r="D52" s="20" t="s">
        <v>267</v>
      </c>
      <c r="E52" s="19">
        <v>30</v>
      </c>
      <c r="F52" s="1">
        <v>50</v>
      </c>
      <c r="G52" s="21">
        <v>0</v>
      </c>
      <c r="H52" s="21">
        <v>0</v>
      </c>
      <c r="I52" s="21">
        <v>0</v>
      </c>
      <c r="J52" s="21">
        <v>0</v>
      </c>
      <c r="K52" s="21">
        <f t="shared" si="16"/>
        <v>0.74412195121600655</v>
      </c>
      <c r="L52" s="1">
        <v>0</v>
      </c>
      <c r="M52" s="14">
        <v>11</v>
      </c>
      <c r="N52" s="24">
        <f>54.2004164383518*2</f>
        <v>108.4008328767036</v>
      </c>
      <c r="O52" s="23">
        <v>0</v>
      </c>
      <c r="P52" s="23">
        <f>112.03815425071*2</f>
        <v>224.07630850141999</v>
      </c>
      <c r="Q52" s="23">
        <f t="shared" si="17"/>
        <v>66.196101453321276</v>
      </c>
      <c r="R52" s="23">
        <f t="shared" si="18"/>
        <v>157.8802070480987</v>
      </c>
      <c r="S52" s="25">
        <f t="shared" si="19"/>
        <v>2.0671087348220567</v>
      </c>
      <c r="T52" s="21">
        <v>0</v>
      </c>
      <c r="U52" s="21">
        <f>-14.4438471934087*2</f>
        <v>-28.887694386817401</v>
      </c>
      <c r="V52" s="21">
        <v>0</v>
      </c>
      <c r="W52" s="21">
        <f t="shared" si="12"/>
        <v>50</v>
      </c>
      <c r="X52" s="32">
        <f t="shared" si="20"/>
        <v>29.541767220295753</v>
      </c>
      <c r="Y52" s="35">
        <f t="shared" si="11"/>
        <v>1.4626524928548299</v>
      </c>
      <c r="Z52" s="25">
        <f t="shared" si="15"/>
        <v>0</v>
      </c>
      <c r="AA52" s="25">
        <f t="shared" si="8"/>
        <v>3.0234617439894746</v>
      </c>
      <c r="AB52" s="25">
        <f t="shared" si="13"/>
        <v>0</v>
      </c>
      <c r="AC52" s="25">
        <f t="shared" si="10"/>
        <v>-0.38978167497813992</v>
      </c>
      <c r="AD52" s="34">
        <f t="shared" si="14"/>
        <v>0</v>
      </c>
      <c r="AE52" s="2"/>
      <c r="AF52" s="24" t="s">
        <v>94</v>
      </c>
      <c r="AG52" s="23" t="s">
        <v>94</v>
      </c>
      <c r="AH52" s="23">
        <v>4.5911159617864303</v>
      </c>
      <c r="AI52" s="23">
        <v>30.025753524131499</v>
      </c>
      <c r="AJ52" s="23">
        <f>3.28703649261665*2</f>
        <v>6.5740729852333004</v>
      </c>
      <c r="AK52" s="23">
        <f>22.6821462184761*2</f>
        <v>45.364292436952198</v>
      </c>
      <c r="AL52" s="23">
        <f>21.1980546313636*2</f>
        <v>42.396109262727201</v>
      </c>
      <c r="AM52" s="23">
        <f>36.3680021456679*2</f>
        <v>72.736004291335803</v>
      </c>
      <c r="AN52" s="23" t="s">
        <v>94</v>
      </c>
      <c r="AO52" s="23" t="s">
        <v>94</v>
      </c>
      <c r="AP52" s="23">
        <v>7.0366597653760898</v>
      </c>
      <c r="AQ52" s="23">
        <v>12.7280053715014</v>
      </c>
      <c r="AR52" s="23">
        <f>1.30079516041859*2</f>
        <v>2.6015903208371798</v>
      </c>
      <c r="AS52" s="23">
        <f>11.1311239205605*2</f>
        <v>22.262247841120999</v>
      </c>
      <c r="AT52" s="23">
        <f>7.18659176122473*2</f>
        <v>14.373183522449461</v>
      </c>
      <c r="AU52" s="23">
        <f>5.9218155591539*2</f>
        <v>11.843631118307799</v>
      </c>
      <c r="AV52" s="23" t="s">
        <v>94</v>
      </c>
      <c r="AW52" s="23" t="s">
        <v>94</v>
      </c>
      <c r="AX52" s="23">
        <v>3.2928875007660601</v>
      </c>
      <c r="AY52" s="23">
        <v>-1.8850976666191599</v>
      </c>
      <c r="AZ52" s="23" t="s">
        <v>94</v>
      </c>
      <c r="BA52" s="23" t="s">
        <v>94</v>
      </c>
      <c r="BB52" s="23">
        <v>2.9263031002167801</v>
      </c>
      <c r="BC52" s="23">
        <v>-1.8283944983638301</v>
      </c>
      <c r="BD52" s="23" t="s">
        <v>94</v>
      </c>
      <c r="BE52" s="23" t="s">
        <v>94</v>
      </c>
      <c r="BF52" s="23">
        <v>1.6711998416567599</v>
      </c>
      <c r="BG52" s="23">
        <v>-5.1527322501574498E-2</v>
      </c>
      <c r="BH52" s="23" t="s">
        <v>94</v>
      </c>
      <c r="BI52" s="23" t="s">
        <v>94</v>
      </c>
      <c r="BJ52" s="23">
        <v>0.476306587357475</v>
      </c>
      <c r="BK52" s="36">
        <v>-4.7944209246226298E-2</v>
      </c>
      <c r="BL52" s="2"/>
      <c r="BM52" s="35" t="s">
        <v>94</v>
      </c>
      <c r="BN52" s="21" t="s">
        <v>94</v>
      </c>
      <c r="BO52" s="25">
        <v>0.12317263950771799</v>
      </c>
      <c r="BP52" s="21">
        <v>53.368902242163102</v>
      </c>
      <c r="BQ52" s="25" t="s">
        <v>94</v>
      </c>
      <c r="BR52" s="21" t="s">
        <v>94</v>
      </c>
      <c r="BS52" s="25">
        <v>0.123163249068518</v>
      </c>
      <c r="BT52" s="32">
        <v>70.895226503659501</v>
      </c>
      <c r="BV52" s="37">
        <f>7011343/1000000</f>
        <v>7.0113430000000001</v>
      </c>
      <c r="BW52" s="1">
        <v>1000</v>
      </c>
      <c r="BX52" s="1">
        <v>750</v>
      </c>
      <c r="BY52" s="21">
        <v>4.30954610772236</v>
      </c>
      <c r="BZ52" s="21">
        <v>17.555977775603001</v>
      </c>
      <c r="CA52" s="45">
        <v>6.9987980452116399E-6</v>
      </c>
      <c r="CB52" s="45">
        <v>6.0304198019661796E-3</v>
      </c>
      <c r="CC52" s="45">
        <v>1.4964413158758701E-4</v>
      </c>
      <c r="CD52" s="45">
        <v>3.99402029179784E-4</v>
      </c>
      <c r="CE52" s="45">
        <v>1.88670462903582E-4</v>
      </c>
      <c r="CF52" s="45">
        <v>2.6434308660923698E-4</v>
      </c>
      <c r="CG52" s="23"/>
      <c r="CH52" s="21">
        <v>21.209022521972599</v>
      </c>
      <c r="CI52" s="21"/>
      <c r="CJ52" s="38"/>
      <c r="CL52" s="88">
        <v>0</v>
      </c>
      <c r="CM52" s="1">
        <f>-121.567759427036*2</f>
        <v>-243.13551885407199</v>
      </c>
      <c r="CN52" s="20">
        <v>0</v>
      </c>
    </row>
    <row r="53" spans="2:92" s="1" customFormat="1" x14ac:dyDescent="0.25">
      <c r="B53" s="2" t="s">
        <v>247</v>
      </c>
      <c r="C53" s="1" t="s">
        <v>217</v>
      </c>
      <c r="D53" s="20" t="s">
        <v>267</v>
      </c>
      <c r="E53" s="19">
        <v>30</v>
      </c>
      <c r="F53" s="1">
        <v>60</v>
      </c>
      <c r="G53" s="21">
        <v>0</v>
      </c>
      <c r="H53" s="21">
        <v>0</v>
      </c>
      <c r="I53" s="21">
        <v>0</v>
      </c>
      <c r="J53" s="21">
        <v>0</v>
      </c>
      <c r="K53" s="21">
        <f t="shared" si="16"/>
        <v>1.1162221558585421</v>
      </c>
      <c r="L53" s="1">
        <v>0</v>
      </c>
      <c r="M53" s="14">
        <v>11</v>
      </c>
      <c r="N53" s="24">
        <f>53.7281769223387*2</f>
        <v>107.45635384467739</v>
      </c>
      <c r="O53" s="23">
        <v>0</v>
      </c>
      <c r="P53" s="23">
        <f>123.467760515416*2</f>
        <v>246.93552103083201</v>
      </c>
      <c r="Q53" s="23">
        <f t="shared" si="17"/>
        <v>88.482317270676177</v>
      </c>
      <c r="R53" s="23">
        <f t="shared" si="18"/>
        <v>158.45320376015584</v>
      </c>
      <c r="S53" s="25">
        <f t="shared" si="19"/>
        <v>2.2980076300352099</v>
      </c>
      <c r="T53" s="21">
        <v>0</v>
      </c>
      <c r="U53" s="21">
        <f>-5.76923273686617*2</f>
        <v>-11.538465473732341</v>
      </c>
      <c r="V53" s="21">
        <v>0</v>
      </c>
      <c r="W53" s="21">
        <f t="shared" si="12"/>
        <v>50</v>
      </c>
      <c r="X53" s="32">
        <f t="shared" si="20"/>
        <v>35.832154443114078</v>
      </c>
      <c r="Y53" s="35">
        <f t="shared" si="11"/>
        <v>1.4499086367978058</v>
      </c>
      <c r="Z53" s="25">
        <f t="shared" si="15"/>
        <v>0</v>
      </c>
      <c r="AA53" s="25">
        <f t="shared" si="8"/>
        <v>3.3319011102153073</v>
      </c>
      <c r="AB53" s="25">
        <f t="shared" si="13"/>
        <v>0</v>
      </c>
      <c r="AC53" s="25">
        <f t="shared" si="10"/>
        <v>-0.15568852047538997</v>
      </c>
      <c r="AD53" s="34">
        <f t="shared" si="14"/>
        <v>0</v>
      </c>
      <c r="AE53" s="2"/>
      <c r="AF53" s="24" t="s">
        <v>94</v>
      </c>
      <c r="AG53" s="23" t="s">
        <v>94</v>
      </c>
      <c r="AH53" s="23">
        <v>4.63692412151486</v>
      </c>
      <c r="AI53" s="23">
        <v>38.757784664774299</v>
      </c>
      <c r="AJ53" s="23">
        <f>3.59153322652915*2</f>
        <v>7.1830664530583004</v>
      </c>
      <c r="AK53" s="23">
        <f>25.3057367121271*2</f>
        <v>50.6114734242542</v>
      </c>
      <c r="AL53" s="23">
        <f>21.481515970796*2</f>
        <v>42.963031941592</v>
      </c>
      <c r="AM53" s="23">
        <f>35.7834467619954*2</f>
        <v>71.5668935239908</v>
      </c>
      <c r="AN53" s="23" t="s">
        <v>94</v>
      </c>
      <c r="AO53" s="23" t="s">
        <v>94</v>
      </c>
      <c r="AP53" s="23">
        <v>6.8455393994864799</v>
      </c>
      <c r="AQ53" s="23">
        <v>12.359041910441199</v>
      </c>
      <c r="AR53" s="23">
        <f>1.19705894892637*2</f>
        <v>2.3941178978527402</v>
      </c>
      <c r="AS53" s="23">
        <f>8.95060688448415*2</f>
        <v>17.901213768968301</v>
      </c>
      <c r="AT53" s="23">
        <f>7.23256121129608*2</f>
        <v>14.46512242259216</v>
      </c>
      <c r="AU53" s="23">
        <f>8.82608608648729*2</f>
        <v>17.652172172974581</v>
      </c>
      <c r="AV53" s="23" t="s">
        <v>94</v>
      </c>
      <c r="AW53" s="23" t="s">
        <v>94</v>
      </c>
      <c r="AX53" s="23">
        <v>2.7114608106493598</v>
      </c>
      <c r="AY53" s="23">
        <v>-1.8683475055737</v>
      </c>
      <c r="AZ53" s="23" t="s">
        <v>94</v>
      </c>
      <c r="BA53" s="23" t="s">
        <v>94</v>
      </c>
      <c r="BB53" s="23">
        <v>2.9544862651678598</v>
      </c>
      <c r="BC53" s="23">
        <v>-1.4662376810830999</v>
      </c>
      <c r="BD53" s="23" t="s">
        <v>94</v>
      </c>
      <c r="BE53" s="23" t="s">
        <v>94</v>
      </c>
      <c r="BF53" s="23">
        <v>1.60084232401648</v>
      </c>
      <c r="BG53" s="23">
        <v>-0.21457998063543399</v>
      </c>
      <c r="BH53" s="23" t="s">
        <v>94</v>
      </c>
      <c r="BI53" s="23" t="s">
        <v>94</v>
      </c>
      <c r="BJ53" s="23">
        <v>0.407385549929973</v>
      </c>
      <c r="BK53" s="36">
        <v>-0.12978915469355601</v>
      </c>
      <c r="BL53" s="2"/>
      <c r="BM53" s="35" t="s">
        <v>94</v>
      </c>
      <c r="BN53" s="21" t="s">
        <v>94</v>
      </c>
      <c r="BO53" s="25">
        <v>0.124118113252113</v>
      </c>
      <c r="BP53" s="21">
        <v>52.712683695605797</v>
      </c>
      <c r="BQ53" s="25" t="s">
        <v>94</v>
      </c>
      <c r="BR53" s="21" t="s">
        <v>94</v>
      </c>
      <c r="BS53" s="25">
        <v>0.12413542910214399</v>
      </c>
      <c r="BT53" s="32">
        <v>72.444577205224704</v>
      </c>
      <c r="BV53" s="37">
        <f>7022093/1000000</f>
        <v>7.0220929999999999</v>
      </c>
      <c r="BW53" s="1">
        <v>1000</v>
      </c>
      <c r="BX53" s="1">
        <v>750</v>
      </c>
      <c r="BY53" s="21">
        <v>4.4133594369993396</v>
      </c>
      <c r="BZ53" s="21">
        <v>17.855439988794199</v>
      </c>
      <c r="CA53" s="45">
        <v>7.0690782443168302E-6</v>
      </c>
      <c r="CB53" s="45">
        <v>5.2131619293102997E-3</v>
      </c>
      <c r="CC53" s="45">
        <v>1.50223998869095E-4</v>
      </c>
      <c r="CD53" s="45">
        <v>4.1959618105381701E-4</v>
      </c>
      <c r="CE53" s="45">
        <v>1.87543219566267E-4</v>
      </c>
      <c r="CF53" s="45">
        <v>2.8210321606925197E-4</v>
      </c>
      <c r="CG53" s="23"/>
      <c r="CH53" s="21">
        <v>23.716670989990199</v>
      </c>
      <c r="CI53" s="21"/>
      <c r="CJ53" s="38"/>
      <c r="CL53" s="88">
        <v>0</v>
      </c>
      <c r="CM53" s="1">
        <f>-122.00896689532*2</f>
        <v>-244.01793379064</v>
      </c>
      <c r="CN53" s="20">
        <v>0</v>
      </c>
    </row>
    <row r="54" spans="2:92" s="1" customFormat="1" x14ac:dyDescent="0.25">
      <c r="B54" s="2" t="s">
        <v>248</v>
      </c>
      <c r="C54" s="1" t="s">
        <v>218</v>
      </c>
      <c r="D54" s="20" t="s">
        <v>267</v>
      </c>
      <c r="E54" s="19">
        <v>30</v>
      </c>
      <c r="F54" s="1">
        <v>70</v>
      </c>
      <c r="G54" s="21">
        <v>0</v>
      </c>
      <c r="H54" s="21">
        <v>0</v>
      </c>
      <c r="I54" s="21">
        <v>0</v>
      </c>
      <c r="J54" s="21">
        <v>0</v>
      </c>
      <c r="K54" s="21">
        <f t="shared" si="16"/>
        <v>1.4883694520240416</v>
      </c>
      <c r="L54" s="1">
        <v>0</v>
      </c>
      <c r="M54" s="14">
        <v>11</v>
      </c>
      <c r="N54" s="24">
        <f>53.9027933307289*2</f>
        <v>107.8055866614578</v>
      </c>
      <c r="O54" s="23">
        <v>0</v>
      </c>
      <c r="P54" s="23">
        <f>120.978092845411*2</f>
        <v>241.956185690822</v>
      </c>
      <c r="Q54" s="23">
        <f t="shared" si="17"/>
        <v>88.567513522096036</v>
      </c>
      <c r="R54" s="23">
        <f t="shared" si="18"/>
        <v>153.38867216872595</v>
      </c>
      <c r="S54" s="25">
        <f t="shared" si="19"/>
        <v>2.2443752052538586</v>
      </c>
      <c r="T54" s="21">
        <v>0</v>
      </c>
      <c r="U54" s="21">
        <f>-3.83353965554218*2</f>
        <v>-7.6670793110843602</v>
      </c>
      <c r="V54" s="21">
        <v>0</v>
      </c>
      <c r="W54" s="21">
        <f t="shared" si="12"/>
        <v>50</v>
      </c>
      <c r="X54" s="32">
        <f t="shared" si="20"/>
        <v>36.604773409376662</v>
      </c>
      <c r="Y54" s="35">
        <f t="shared" si="11"/>
        <v>1.454620835371331</v>
      </c>
      <c r="Z54" s="25">
        <f t="shared" si="15"/>
        <v>0</v>
      </c>
      <c r="AA54" s="25">
        <f t="shared" si="8"/>
        <v>3.2647149359530707</v>
      </c>
      <c r="AB54" s="25">
        <f t="shared" si="13"/>
        <v>0</v>
      </c>
      <c r="AC54" s="25">
        <f t="shared" si="10"/>
        <v>-0.10345190502390769</v>
      </c>
      <c r="AD54" s="34">
        <f t="shared" si="14"/>
        <v>0</v>
      </c>
      <c r="AE54" s="2"/>
      <c r="AF54" s="24" t="s">
        <v>94</v>
      </c>
      <c r="AG54" s="23" t="s">
        <v>94</v>
      </c>
      <c r="AH54" s="23">
        <v>4.5643046375338496</v>
      </c>
      <c r="AI54" s="23">
        <v>35.996762228976003</v>
      </c>
      <c r="AJ54" s="23">
        <f>3.76348464702653*2</f>
        <v>7.5269692940530604</v>
      </c>
      <c r="AK54" s="23">
        <f>26.5893812450632*2</f>
        <v>53.178762490126402</v>
      </c>
      <c r="AL54" s="23">
        <f>21.7542351855783*2</f>
        <v>43.508470371156598</v>
      </c>
      <c r="AM54" s="23">
        <f>35.816741634707*2</f>
        <v>71.633483269414</v>
      </c>
      <c r="AN54" s="23" t="s">
        <v>94</v>
      </c>
      <c r="AO54" s="23" t="s">
        <v>94</v>
      </c>
      <c r="AP54" s="23">
        <v>7.0151204574135599</v>
      </c>
      <c r="AQ54" s="23">
        <v>12.788638158312301</v>
      </c>
      <c r="AR54" s="23">
        <f>1.16071576001575*2</f>
        <v>2.3214315200315001</v>
      </c>
      <c r="AS54" s="23">
        <f>8.01954526590891*2</f>
        <v>16.03909053181782</v>
      </c>
      <c r="AT54" s="23">
        <f>7.24548010585199*2</f>
        <v>14.49096021170398</v>
      </c>
      <c r="AU54" s="23">
        <f>8.29825624683099*2</f>
        <v>16.596512493661979</v>
      </c>
      <c r="AV54" s="23" t="s">
        <v>94</v>
      </c>
      <c r="AW54" s="23" t="s">
        <v>94</v>
      </c>
      <c r="AX54" s="23">
        <v>2.6523804970670302</v>
      </c>
      <c r="AY54" s="23">
        <v>-1.8282364908578399</v>
      </c>
      <c r="AZ54" s="23" t="s">
        <v>94</v>
      </c>
      <c r="BA54" s="23" t="s">
        <v>94</v>
      </c>
      <c r="BB54" s="23">
        <v>2.8461892531020898</v>
      </c>
      <c r="BC54" s="23">
        <v>-1.64988001373145</v>
      </c>
      <c r="BD54" s="23" t="s">
        <v>94</v>
      </c>
      <c r="BE54" s="23" t="s">
        <v>94</v>
      </c>
      <c r="BF54" s="23">
        <v>1.4981442610257401</v>
      </c>
      <c r="BG54" s="23">
        <v>-0.206020215425464</v>
      </c>
      <c r="BH54" s="23" t="s">
        <v>94</v>
      </c>
      <c r="BI54" s="23" t="s">
        <v>94</v>
      </c>
      <c r="BJ54" s="23">
        <v>0.37923134334276298</v>
      </c>
      <c r="BK54" s="36">
        <v>-6.2169824291412899E-2</v>
      </c>
      <c r="BL54" s="2"/>
      <c r="BM54" s="35" t="s">
        <v>94</v>
      </c>
      <c r="BN54" s="21" t="s">
        <v>94</v>
      </c>
      <c r="BO54" s="25">
        <v>0.12302388811426899</v>
      </c>
      <c r="BP54" s="21">
        <v>52.188457967493299</v>
      </c>
      <c r="BQ54" s="25" t="s">
        <v>94</v>
      </c>
      <c r="BR54" s="21" t="s">
        <v>94</v>
      </c>
      <c r="BS54" s="25">
        <v>0.123033345650516</v>
      </c>
      <c r="BT54" s="32">
        <v>72.058289001302697</v>
      </c>
      <c r="BV54" s="37">
        <f>7036221/1000000</f>
        <v>7.0362210000000003</v>
      </c>
      <c r="BW54" s="1">
        <v>1000</v>
      </c>
      <c r="BX54" s="1">
        <v>750</v>
      </c>
      <c r="BY54" s="21">
        <v>4.3579136511665597</v>
      </c>
      <c r="BZ54" s="21">
        <v>17.4956629976034</v>
      </c>
      <c r="CA54" s="45">
        <v>6.5553687919870101E-6</v>
      </c>
      <c r="CB54" s="45">
        <v>5.5410081210339798E-3</v>
      </c>
      <c r="CC54" s="45">
        <v>1.4280937074407301E-4</v>
      </c>
      <c r="CD54" s="45">
        <v>3.8896282180947601E-4</v>
      </c>
      <c r="CE54" s="45">
        <v>1.77867477160517E-4</v>
      </c>
      <c r="CF54" s="45">
        <v>2.6699236763705602E-4</v>
      </c>
      <c r="CG54" s="23"/>
      <c r="CH54" s="21">
        <v>23.709671020507798</v>
      </c>
      <c r="CI54" s="21"/>
      <c r="CJ54" s="38"/>
      <c r="CL54" s="88">
        <v>0</v>
      </c>
      <c r="CM54" s="1">
        <f>-118.109277569919*2</f>
        <v>-236.218555139838</v>
      </c>
      <c r="CN54" s="20">
        <v>0</v>
      </c>
    </row>
    <row r="55" spans="2:92" s="1" customFormat="1" x14ac:dyDescent="0.25">
      <c r="B55" s="2" t="s">
        <v>249</v>
      </c>
      <c r="C55" s="1" t="s">
        <v>219</v>
      </c>
      <c r="D55" s="20" t="s">
        <v>267</v>
      </c>
      <c r="E55" s="19">
        <v>50</v>
      </c>
      <c r="F55" s="1">
        <v>30</v>
      </c>
      <c r="G55" s="21">
        <v>0</v>
      </c>
      <c r="H55" s="21">
        <v>0</v>
      </c>
      <c r="I55" s="21">
        <v>0</v>
      </c>
      <c r="J55" s="21">
        <v>0</v>
      </c>
      <c r="K55" s="21">
        <f>IF(OR(ISBLANK($E55),ISBLANK($F55)),"",DEGREES(ASIN(($F55-$E55)/1540)))</f>
        <v>-0.74412195121600655</v>
      </c>
      <c r="L55" s="1">
        <v>0</v>
      </c>
      <c r="M55" s="14">
        <v>11</v>
      </c>
      <c r="N55" s="24">
        <f>55.4696024763711*2</f>
        <v>110.9392049527422</v>
      </c>
      <c r="O55" s="23">
        <v>0</v>
      </c>
      <c r="P55" s="23">
        <f>119.926521379385*2</f>
        <v>239.85304275876999</v>
      </c>
      <c r="Q55" s="23">
        <f t="shared" si="17"/>
        <v>65.857950012805034</v>
      </c>
      <c r="R55" s="23">
        <f>IF(OR(ISERROR($P55*(1-($X55/100))),$X55=0),"",$P55*(1-($X55/100)))</f>
        <v>173.99509274596497</v>
      </c>
      <c r="S55" s="25">
        <f t="shared" si="19"/>
        <v>2.1620223694675151</v>
      </c>
      <c r="T55" s="21">
        <v>0</v>
      </c>
      <c r="U55" s="21">
        <f>-20.0791220883721*2</f>
        <v>-40.158244176744198</v>
      </c>
      <c r="V55" s="21">
        <v>0</v>
      </c>
      <c r="W55" s="21">
        <f t="shared" si="12"/>
        <v>50</v>
      </c>
      <c r="X55" s="32">
        <f t="shared" si="20"/>
        <v>27.457625409005573</v>
      </c>
      <c r="Y55" s="35">
        <f t="shared" si="11"/>
        <v>1.4969027485612034</v>
      </c>
      <c r="Z55" s="25">
        <f t="shared" si="15"/>
        <v>0</v>
      </c>
      <c r="AA55" s="25">
        <f t="shared" si="8"/>
        <v>3.2363372273067288</v>
      </c>
      <c r="AB55" s="25">
        <f t="shared" si="13"/>
        <v>0</v>
      </c>
      <c r="AC55" s="25">
        <f t="shared" si="10"/>
        <v>-0.54185520899637973</v>
      </c>
      <c r="AD55" s="34">
        <f t="shared" si="14"/>
        <v>0</v>
      </c>
      <c r="AE55" s="2"/>
      <c r="AF55" s="24" t="s">
        <v>94</v>
      </c>
      <c r="AG55" s="23" t="s">
        <v>94</v>
      </c>
      <c r="AH55" s="23">
        <v>4.4736408022386103</v>
      </c>
      <c r="AI55" s="23">
        <v>28.3566085894408</v>
      </c>
      <c r="AJ55" s="23">
        <f>3.58557296120385*2</f>
        <v>7.1711459224076997</v>
      </c>
      <c r="AK55" s="23">
        <f>24.1954115343371*2</f>
        <v>48.390823068674202</v>
      </c>
      <c r="AL55" s="23">
        <f>19.9514534265776*2</f>
        <v>39.902906853155201</v>
      </c>
      <c r="AM55" s="23">
        <f>36.6112722566396*2</f>
        <v>73.222544513279203</v>
      </c>
      <c r="AN55" s="23" t="s">
        <v>94</v>
      </c>
      <c r="AO55" s="23" t="s">
        <v>94</v>
      </c>
      <c r="AP55" s="23">
        <v>7.3985796267992798</v>
      </c>
      <c r="AQ55" s="23">
        <v>13.005216925033899</v>
      </c>
      <c r="AR55" s="23">
        <f>1.67291712539241*2</f>
        <v>3.34583425078482</v>
      </c>
      <c r="AS55" s="23">
        <f>19.706334225564*2</f>
        <v>39.412668451127999</v>
      </c>
      <c r="AT55" s="23">
        <f>7.27230666088125*2</f>
        <v>14.544613321762499</v>
      </c>
      <c r="AU55" s="23">
        <f>4.78265256250102*2</f>
        <v>9.5653051250020393</v>
      </c>
      <c r="AV55" s="23" t="s">
        <v>94</v>
      </c>
      <c r="AW55" s="23" t="s">
        <v>94</v>
      </c>
      <c r="AX55" s="23">
        <v>4.31741269442663</v>
      </c>
      <c r="AY55" s="23">
        <v>-2.0358490447420001</v>
      </c>
      <c r="AZ55" s="23" t="s">
        <v>94</v>
      </c>
      <c r="BA55" s="23" t="s">
        <v>94</v>
      </c>
      <c r="BB55" s="23">
        <v>3.0053849506296699</v>
      </c>
      <c r="BC55" s="23">
        <v>-1.47115643584142</v>
      </c>
      <c r="BD55" s="23" t="s">
        <v>94</v>
      </c>
      <c r="BE55" s="23" t="s">
        <v>94</v>
      </c>
      <c r="BF55" s="23">
        <v>1.9002976839530601</v>
      </c>
      <c r="BG55" s="23">
        <v>-0.24370975173814799</v>
      </c>
      <c r="BH55" s="23" t="s">
        <v>94</v>
      </c>
      <c r="BI55" s="23" t="s">
        <v>94</v>
      </c>
      <c r="BJ55" s="23">
        <v>0.44177393289857297</v>
      </c>
      <c r="BK55" s="36">
        <v>1.94311784305706E-2</v>
      </c>
      <c r="BL55" s="2"/>
      <c r="BM55" s="35" t="s">
        <v>94</v>
      </c>
      <c r="BN55" s="21" t="s">
        <v>94</v>
      </c>
      <c r="BO55" s="25">
        <v>0.12644153617929299</v>
      </c>
      <c r="BP55" s="21">
        <v>56.704831330032803</v>
      </c>
      <c r="BQ55" s="25" t="s">
        <v>94</v>
      </c>
      <c r="BR55" s="21" t="s">
        <v>94</v>
      </c>
      <c r="BS55" s="25">
        <v>0.126446558547824</v>
      </c>
      <c r="BT55" s="32">
        <v>63.4548676832231</v>
      </c>
      <c r="BV55" s="37">
        <f>7024697/1000000</f>
        <v>7.0246969999999997</v>
      </c>
      <c r="BW55" s="1">
        <v>1000</v>
      </c>
      <c r="BX55" s="1">
        <v>750</v>
      </c>
      <c r="BY55" s="21">
        <v>4.3568179130552904</v>
      </c>
      <c r="BZ55" s="21">
        <v>17.454173674796699</v>
      </c>
      <c r="CA55" s="45">
        <v>5.9330090981030801E-6</v>
      </c>
      <c r="CB55" s="45">
        <v>6.2107746649588897E-3</v>
      </c>
      <c r="CC55" s="45">
        <v>1.01192522131134E-4</v>
      </c>
      <c r="CD55" s="45">
        <v>2.7625660261319199E-4</v>
      </c>
      <c r="CE55" s="45">
        <v>1.4213173143483101E-4</v>
      </c>
      <c r="CF55" s="45">
        <v>1.9544092627757199E-4</v>
      </c>
      <c r="CG55" s="23"/>
      <c r="CH55" s="21">
        <v>23.649375915527301</v>
      </c>
      <c r="CI55" s="21"/>
      <c r="CJ55" s="38"/>
      <c r="CL55" s="88">
        <v>0</v>
      </c>
      <c r="CM55" s="1">
        <f>-133.976221414393*2</f>
        <v>-267.95244282878599</v>
      </c>
      <c r="CN55" s="20">
        <v>0</v>
      </c>
    </row>
    <row r="56" spans="2:92" s="1" customFormat="1" x14ac:dyDescent="0.25">
      <c r="B56" s="2" t="s">
        <v>250</v>
      </c>
      <c r="C56" s="1" t="s">
        <v>220</v>
      </c>
      <c r="D56" s="20" t="s">
        <v>267</v>
      </c>
      <c r="E56" s="19">
        <v>50</v>
      </c>
      <c r="F56" s="1">
        <v>60</v>
      </c>
      <c r="G56" s="21">
        <v>0</v>
      </c>
      <c r="H56" s="21">
        <v>0</v>
      </c>
      <c r="I56" s="21">
        <v>0</v>
      </c>
      <c r="J56" s="21">
        <v>0</v>
      </c>
      <c r="K56" s="21">
        <f t="shared" si="16"/>
        <v>0.37205313099218562</v>
      </c>
      <c r="L56" s="1">
        <v>0</v>
      </c>
      <c r="M56" s="14">
        <v>11</v>
      </c>
      <c r="N56" s="24">
        <f>57.258421776382*2</f>
        <v>114.516843552764</v>
      </c>
      <c r="O56" s="23">
        <v>0</v>
      </c>
      <c r="P56" s="23">
        <f>126.869124455002*2</f>
        <v>253.73824891000399</v>
      </c>
      <c r="Q56" s="23">
        <f t="shared" si="17"/>
        <v>88.102727203407881</v>
      </c>
      <c r="R56" s="23">
        <f t="shared" si="18"/>
        <v>165.63552170659608</v>
      </c>
      <c r="S56" s="25">
        <f t="shared" si="19"/>
        <v>2.2157286302874151</v>
      </c>
      <c r="T56" s="21">
        <v>0</v>
      </c>
      <c r="U56" s="21">
        <f>-7.478242764082*2</f>
        <v>-14.956485528164</v>
      </c>
      <c r="V56" s="21">
        <v>0</v>
      </c>
      <c r="W56" s="21">
        <f t="shared" si="12"/>
        <v>50</v>
      </c>
      <c r="X56" s="32">
        <f t="shared" ref="X56:X87" si="21">IF(OR(ISERROR(100-(-$CM56*100)/(1.54*$P56)),$CM56=0),"",100-(-$CM56*100)/(1.54*$P56))</f>
        <v>34.721894543639024</v>
      </c>
      <c r="Y56" s="35">
        <f t="shared" si="11"/>
        <v>1.545175828001538</v>
      </c>
      <c r="Z56" s="25">
        <f t="shared" si="15"/>
        <v>0</v>
      </c>
      <c r="AA56" s="25">
        <f t="shared" si="8"/>
        <v>3.4236903209310703</v>
      </c>
      <c r="AB56" s="25">
        <f t="shared" si="13"/>
        <v>0</v>
      </c>
      <c r="AC56" s="25">
        <f t="shared" si="10"/>
        <v>-0.20180786679931184</v>
      </c>
      <c r="AD56" s="34">
        <f t="shared" si="14"/>
        <v>0</v>
      </c>
      <c r="AE56" s="2"/>
      <c r="AF56" s="24" t="s">
        <v>94</v>
      </c>
      <c r="AG56" s="23" t="s">
        <v>94</v>
      </c>
      <c r="AH56" s="23">
        <v>5.0846637947228599</v>
      </c>
      <c r="AI56" s="23">
        <v>36.224578227667202</v>
      </c>
      <c r="AJ56" s="23">
        <f>3.89716171181572*2</f>
        <v>7.7943234236314396</v>
      </c>
      <c r="AK56" s="23">
        <f>28.0067541214306*2</f>
        <v>56.013508242861199</v>
      </c>
      <c r="AL56" s="23">
        <f>22.2308422927379*2</f>
        <v>44.461684585475801</v>
      </c>
      <c r="AM56" s="23">
        <f>37.8534016318296*2</f>
        <v>75.706803263659197</v>
      </c>
      <c r="AN56" s="23" t="s">
        <v>94</v>
      </c>
      <c r="AO56" s="23" t="s">
        <v>94</v>
      </c>
      <c r="AP56" s="23">
        <v>6.7815654510396897</v>
      </c>
      <c r="AQ56" s="23">
        <v>12.7276515827824</v>
      </c>
      <c r="AR56" s="23">
        <f>1.43966742895372*2</f>
        <v>2.8793348579074398</v>
      </c>
      <c r="AS56" s="23">
        <f>11.573073971521*2</f>
        <v>23.146147943041999</v>
      </c>
      <c r="AT56" s="23">
        <f>7.41191794232479*2</f>
        <v>14.823835884649579</v>
      </c>
      <c r="AU56" s="23">
        <f>7.47973134171148*2</f>
        <v>14.959462683422959</v>
      </c>
      <c r="AV56" s="23" t="s">
        <v>94</v>
      </c>
      <c r="AW56" s="23" t="s">
        <v>94</v>
      </c>
      <c r="AX56" s="23">
        <v>3.53163599806068</v>
      </c>
      <c r="AY56" s="23">
        <v>-2.0228689315141599</v>
      </c>
      <c r="AZ56" s="23" t="s">
        <v>94</v>
      </c>
      <c r="BA56" s="23" t="s">
        <v>94</v>
      </c>
      <c r="BB56" s="23">
        <v>2.6850660965624602</v>
      </c>
      <c r="BC56" s="23">
        <v>-1.7823121760107199</v>
      </c>
      <c r="BD56" s="23" t="s">
        <v>94</v>
      </c>
      <c r="BE56" s="23" t="s">
        <v>94</v>
      </c>
      <c r="BF56" s="23">
        <v>2.2850467723296002</v>
      </c>
      <c r="BG56" s="23">
        <v>0.12465901309468901</v>
      </c>
      <c r="BH56" s="23" t="s">
        <v>94</v>
      </c>
      <c r="BI56" s="23" t="s">
        <v>94</v>
      </c>
      <c r="BJ56" s="23">
        <v>0.51961690185840004</v>
      </c>
      <c r="BK56" s="36">
        <v>-0.139084807902326</v>
      </c>
      <c r="BL56" s="2"/>
      <c r="BM56" s="35" t="s">
        <v>94</v>
      </c>
      <c r="BN56" s="21" t="s">
        <v>94</v>
      </c>
      <c r="BO56" s="25">
        <v>0.12511922151952701</v>
      </c>
      <c r="BP56" s="21">
        <v>55.711787436268899</v>
      </c>
      <c r="BQ56" s="25" t="s">
        <v>94</v>
      </c>
      <c r="BR56" s="21" t="s">
        <v>94</v>
      </c>
      <c r="BS56" s="25">
        <v>0.12510767610866599</v>
      </c>
      <c r="BT56" s="32">
        <v>68.498476151091396</v>
      </c>
      <c r="BV56" s="37">
        <f>7066238/1000000</f>
        <v>7.0662380000000002</v>
      </c>
      <c r="BW56" s="1">
        <v>1000</v>
      </c>
      <c r="BX56" s="1">
        <v>750</v>
      </c>
      <c r="BY56" s="21">
        <v>4.3716010910561698</v>
      </c>
      <c r="BZ56" s="21">
        <v>17.534902971607998</v>
      </c>
      <c r="CA56" s="45">
        <v>6.8954464369128902E-6</v>
      </c>
      <c r="CB56" s="45">
        <v>4.8992354990885396E-3</v>
      </c>
      <c r="CC56" s="45">
        <v>1.3012313634726199E-4</v>
      </c>
      <c r="CD56" s="45">
        <v>3.59734649816739E-4</v>
      </c>
      <c r="CE56" s="45">
        <v>1.8520114996762601E-4</v>
      </c>
      <c r="CF56" s="45">
        <v>2.5550189295663701E-4</v>
      </c>
      <c r="CG56" s="23"/>
      <c r="CH56" s="21">
        <v>23.772182464599599</v>
      </c>
      <c r="CI56" s="21"/>
      <c r="CJ56" s="38"/>
      <c r="CL56" s="88">
        <v>0</v>
      </c>
      <c r="CM56" s="1">
        <f>-127.539351714079*2</f>
        <v>-255.07870342815801</v>
      </c>
      <c r="CN56" s="20">
        <v>0</v>
      </c>
    </row>
    <row r="57" spans="2:92" s="1" customFormat="1" x14ac:dyDescent="0.25">
      <c r="B57" s="2" t="s">
        <v>251</v>
      </c>
      <c r="C57" s="1" t="s">
        <v>221</v>
      </c>
      <c r="D57" s="20" t="s">
        <v>267</v>
      </c>
      <c r="E57" s="19">
        <v>50</v>
      </c>
      <c r="F57" s="1">
        <v>70</v>
      </c>
      <c r="G57" s="21">
        <v>0</v>
      </c>
      <c r="H57" s="21">
        <v>0</v>
      </c>
      <c r="I57" s="21">
        <v>0</v>
      </c>
      <c r="J57" s="21">
        <v>0</v>
      </c>
      <c r="K57" s="21">
        <f t="shared" si="16"/>
        <v>0.74412195121600655</v>
      </c>
      <c r="L57" s="1">
        <v>0</v>
      </c>
      <c r="M57" s="14">
        <v>11</v>
      </c>
      <c r="N57" s="24">
        <f>56.9841967814473*2</f>
        <v>113.9683935628946</v>
      </c>
      <c r="O57" s="23">
        <v>0</v>
      </c>
      <c r="P57" s="23">
        <f>125.986328472175*2</f>
        <v>251.97265694435001</v>
      </c>
      <c r="Q57" s="23">
        <f t="shared" si="17"/>
        <v>83.212617325063007</v>
      </c>
      <c r="R57" s="23">
        <f t="shared" si="18"/>
        <v>168.760039619287</v>
      </c>
      <c r="S57" s="25">
        <f t="shared" si="19"/>
        <v>2.210899435072728</v>
      </c>
      <c r="T57" s="21">
        <v>0</v>
      </c>
      <c r="U57" s="21">
        <f>-10.6820375632535*2</f>
        <v>-21.364075126507</v>
      </c>
      <c r="V57" s="21">
        <v>0</v>
      </c>
      <c r="W57" s="21">
        <f t="shared" si="12"/>
        <v>50</v>
      </c>
      <c r="X57" s="32">
        <f t="shared" si="21"/>
        <v>33.024463183495783</v>
      </c>
      <c r="Y57" s="35">
        <f t="shared" si="11"/>
        <v>1.5377755920107214</v>
      </c>
      <c r="Z57" s="25">
        <f t="shared" si="15"/>
        <v>0</v>
      </c>
      <c r="AA57" s="25">
        <f t="shared" si="8"/>
        <v>3.3998671876451336</v>
      </c>
      <c r="AB57" s="25">
        <f t="shared" si="13"/>
        <v>0</v>
      </c>
      <c r="AC57" s="25">
        <f t="shared" si="10"/>
        <v>-0.28826547649191425</v>
      </c>
      <c r="AD57" s="34">
        <f t="shared" si="14"/>
        <v>0</v>
      </c>
      <c r="AE57" s="2"/>
      <c r="AF57" s="24" t="s">
        <v>94</v>
      </c>
      <c r="AG57" s="23" t="s">
        <v>94</v>
      </c>
      <c r="AH57" s="23">
        <v>5.0522167888663398</v>
      </c>
      <c r="AI57" s="23">
        <v>41.150527862670501</v>
      </c>
      <c r="AJ57" s="23">
        <f>3.33961768955328*2</f>
        <v>6.6792353791065597</v>
      </c>
      <c r="AK57" s="23">
        <f>23.1985600087571*2</f>
        <v>46.397120017514197</v>
      </c>
      <c r="AL57" s="23">
        <f>22.3795637511228*2</f>
        <v>44.759127502245597</v>
      </c>
      <c r="AM57" s="23">
        <f>37.543470074581*2</f>
        <v>75.086940149162004</v>
      </c>
      <c r="AN57" s="23" t="s">
        <v>94</v>
      </c>
      <c r="AO57" s="23" t="s">
        <v>94</v>
      </c>
      <c r="AP57" s="23">
        <v>6.9049489855309298</v>
      </c>
      <c r="AQ57" s="23">
        <v>12.788174473649301</v>
      </c>
      <c r="AR57" s="23">
        <f>1.30126805142345*2</f>
        <v>2.6025361028469001</v>
      </c>
      <c r="AS57" s="23">
        <f>9.11421033375759*2</f>
        <v>18.228420667515181</v>
      </c>
      <c r="AT57" s="23">
        <f>7.33373111688537*2</f>
        <v>14.66746223377074</v>
      </c>
      <c r="AU57" s="23">
        <f>8.72008312681931*2</f>
        <v>17.440166253638619</v>
      </c>
      <c r="AV57" s="23" t="s">
        <v>94</v>
      </c>
      <c r="AW57" s="23" t="s">
        <v>94</v>
      </c>
      <c r="AX57" s="23">
        <v>3.7457755132313801</v>
      </c>
      <c r="AY57" s="23">
        <v>-1.4262761985088399</v>
      </c>
      <c r="AZ57" s="23" t="s">
        <v>94</v>
      </c>
      <c r="BA57" s="23" t="s">
        <v>94</v>
      </c>
      <c r="BB57" s="23">
        <v>3.0489872769509598</v>
      </c>
      <c r="BC57" s="23">
        <v>-1.9304158857471401</v>
      </c>
      <c r="BD57" s="23" t="s">
        <v>94</v>
      </c>
      <c r="BE57" s="23" t="s">
        <v>94</v>
      </c>
      <c r="BF57" s="23">
        <v>1.97114726182267</v>
      </c>
      <c r="BG57" s="23">
        <v>-1.4625664845859599E-2</v>
      </c>
      <c r="BH57" s="23" t="s">
        <v>94</v>
      </c>
      <c r="BI57" s="23" t="s">
        <v>94</v>
      </c>
      <c r="BJ57" s="23">
        <v>0.658689608656714</v>
      </c>
      <c r="BK57" s="36">
        <v>-0.17556948486969801</v>
      </c>
      <c r="BL57" s="2"/>
      <c r="BM57" s="35" t="s">
        <v>94</v>
      </c>
      <c r="BN57" s="21" t="s">
        <v>94</v>
      </c>
      <c r="BO57" s="25">
        <v>0.12518973131203701</v>
      </c>
      <c r="BP57" s="21">
        <v>55.645267518140201</v>
      </c>
      <c r="BQ57" s="25" t="s">
        <v>94</v>
      </c>
      <c r="BR57" s="21" t="s">
        <v>94</v>
      </c>
      <c r="BS57" s="25">
        <v>0.12517999454958001</v>
      </c>
      <c r="BT57" s="32">
        <v>68.654159478775796</v>
      </c>
      <c r="BV57" s="37">
        <f>7060548/1000000</f>
        <v>7.0605479999999998</v>
      </c>
      <c r="BW57" s="1">
        <v>1000</v>
      </c>
      <c r="BX57" s="1">
        <v>750</v>
      </c>
      <c r="BY57" s="21">
        <v>4.4480219857777898</v>
      </c>
      <c r="BZ57" s="21">
        <v>17.908846687200398</v>
      </c>
      <c r="CA57" s="45">
        <v>7.3117425575628999E-6</v>
      </c>
      <c r="CB57" s="45">
        <v>4.8298508818231797E-3</v>
      </c>
      <c r="CC57" s="45">
        <v>1.38148095481037E-4</v>
      </c>
      <c r="CD57" s="45">
        <v>4.1819594307575101E-4</v>
      </c>
      <c r="CE57" s="45">
        <v>1.99134524499597E-4</v>
      </c>
      <c r="CF57" s="45">
        <v>2.8727061577865903E-4</v>
      </c>
      <c r="CG57" s="23"/>
      <c r="CH57" s="21">
        <v>23.856105804443299</v>
      </c>
      <c r="CI57" s="21"/>
      <c r="CJ57" s="38"/>
      <c r="CL57" s="88">
        <v>0</v>
      </c>
      <c r="CM57" s="1">
        <f>-129.945230506851*2</f>
        <v>-259.89046101370201</v>
      </c>
      <c r="CN57" s="20">
        <v>0</v>
      </c>
    </row>
    <row r="58" spans="2:92" s="1" customFormat="1" x14ac:dyDescent="0.25">
      <c r="B58" s="2" t="s">
        <v>252</v>
      </c>
      <c r="C58" s="1" t="s">
        <v>222</v>
      </c>
      <c r="D58" s="20" t="s">
        <v>267</v>
      </c>
      <c r="E58" s="19">
        <v>60</v>
      </c>
      <c r="F58" s="1">
        <v>20</v>
      </c>
      <c r="G58" s="21">
        <v>0</v>
      </c>
      <c r="H58" s="21">
        <v>0</v>
      </c>
      <c r="I58" s="21">
        <v>0</v>
      </c>
      <c r="J58" s="21">
        <v>0</v>
      </c>
      <c r="K58" s="21">
        <f t="shared" si="16"/>
        <v>-1.4883694520240416</v>
      </c>
      <c r="L58" s="1">
        <v>0</v>
      </c>
      <c r="M58" s="14">
        <v>11</v>
      </c>
      <c r="N58" s="24">
        <f>56.7980791125548*2</f>
        <v>113.5961582251096</v>
      </c>
      <c r="O58" s="23">
        <v>0</v>
      </c>
      <c r="P58" s="23">
        <f>120.274749900753*2</f>
        <v>240.54949980150599</v>
      </c>
      <c r="Q58" s="23">
        <f t="shared" si="17"/>
        <v>56.584995476242376</v>
      </c>
      <c r="R58" s="23">
        <f t="shared" si="18"/>
        <v>183.96450432526362</v>
      </c>
      <c r="S58" s="25">
        <f t="shared" si="19"/>
        <v>2.1175848158950701</v>
      </c>
      <c r="T58" s="21">
        <v>0</v>
      </c>
      <c r="U58" s="21">
        <f>-27.0722900288556*2</f>
        <v>-54.144580057711202</v>
      </c>
      <c r="V58" s="21">
        <v>0</v>
      </c>
      <c r="W58" s="21">
        <f t="shared" si="12"/>
        <v>50</v>
      </c>
      <c r="X58" s="32">
        <f t="shared" si="21"/>
        <v>23.523223088360012</v>
      </c>
      <c r="Y58" s="35">
        <f t="shared" si="11"/>
        <v>1.532753020409642</v>
      </c>
      <c r="Z58" s="25">
        <f t="shared" si="15"/>
        <v>0</v>
      </c>
      <c r="AA58" s="25">
        <f t="shared" si="8"/>
        <v>3.2457345225367642</v>
      </c>
      <c r="AB58" s="25">
        <f t="shared" si="13"/>
        <v>0</v>
      </c>
      <c r="AC58" s="25">
        <f t="shared" si="10"/>
        <v>-0.73057284611517892</v>
      </c>
      <c r="AD58" s="34">
        <f t="shared" si="14"/>
        <v>0</v>
      </c>
      <c r="AE58" s="2"/>
      <c r="AF58" s="24" t="s">
        <v>94</v>
      </c>
      <c r="AG58" s="23" t="s">
        <v>94</v>
      </c>
      <c r="AH58" s="23">
        <v>4.4568963119401603</v>
      </c>
      <c r="AI58" s="23">
        <v>28.611902965730899</v>
      </c>
      <c r="AJ58" s="23">
        <f>3.2839581228949*2</f>
        <v>6.5679162457898004</v>
      </c>
      <c r="AK58" s="23">
        <f>20.8142029311906*2</f>
        <v>41.6284058623812</v>
      </c>
      <c r="AL58" s="23">
        <f>20.7532144063243*2</f>
        <v>41.506428812648601</v>
      </c>
      <c r="AM58" s="23">
        <f>38.9861240148229*2</f>
        <v>77.972248029645797</v>
      </c>
      <c r="AN58" s="23" t="s">
        <v>94</v>
      </c>
      <c r="AO58" s="23" t="s">
        <v>94</v>
      </c>
      <c r="AP58" s="23">
        <v>7.4018029595054298</v>
      </c>
      <c r="AQ58" s="23">
        <v>12.6108926257431</v>
      </c>
      <c r="AR58" s="23">
        <f>1.4497920029317*2</f>
        <v>2.8995840058633999</v>
      </c>
      <c r="AS58" s="23">
        <f>20.7598024346117*2</f>
        <v>41.5196048692234</v>
      </c>
      <c r="AT58" s="23">
        <f>7.27714980178202*2</f>
        <v>14.55429960356404</v>
      </c>
      <c r="AU58" s="23">
        <f>4.33653019126702*2</f>
        <v>8.6730603825340395</v>
      </c>
      <c r="AV58" s="23" t="s">
        <v>94</v>
      </c>
      <c r="AW58" s="23" t="s">
        <v>94</v>
      </c>
      <c r="AX58" s="23">
        <v>4.9820740575573099</v>
      </c>
      <c r="AY58" s="23">
        <v>-1.2467164980630701</v>
      </c>
      <c r="AZ58" s="23" t="s">
        <v>94</v>
      </c>
      <c r="BA58" s="23" t="s">
        <v>94</v>
      </c>
      <c r="BB58" s="23">
        <v>3.2367083756757</v>
      </c>
      <c r="BC58" s="23">
        <v>-1.5301462580209999</v>
      </c>
      <c r="BD58" s="23" t="s">
        <v>94</v>
      </c>
      <c r="BE58" s="23" t="s">
        <v>94</v>
      </c>
      <c r="BF58" s="23">
        <v>1.8904367029033999</v>
      </c>
      <c r="BG58" s="23">
        <v>-0.28320489276112498</v>
      </c>
      <c r="BH58" s="23" t="s">
        <v>94</v>
      </c>
      <c r="BI58" s="23" t="s">
        <v>94</v>
      </c>
      <c r="BJ58" s="23">
        <v>0.47403636139654598</v>
      </c>
      <c r="BK58" s="36">
        <v>-1.2786265271980299E-2</v>
      </c>
      <c r="BL58" s="2"/>
      <c r="BM58" s="35" t="s">
        <v>94</v>
      </c>
      <c r="BN58" s="21" t="s">
        <v>94</v>
      </c>
      <c r="BO58" s="25">
        <v>0.125205579133955</v>
      </c>
      <c r="BP58" s="21">
        <v>54.5791093655737</v>
      </c>
      <c r="BQ58" s="25" t="s">
        <v>94</v>
      </c>
      <c r="BR58" s="21" t="s">
        <v>94</v>
      </c>
      <c r="BS58" s="25">
        <v>0.12521869381591599</v>
      </c>
      <c r="BT58" s="32">
        <v>67.891357466379205</v>
      </c>
      <c r="BV58" s="37">
        <f>7279224/1000000</f>
        <v>7.2792240000000001</v>
      </c>
      <c r="BW58" s="1">
        <v>1000</v>
      </c>
      <c r="BX58" s="1">
        <v>750</v>
      </c>
      <c r="BY58" s="21">
        <v>4.8827217859173997</v>
      </c>
      <c r="BZ58" s="21">
        <v>19.544569192810901</v>
      </c>
      <c r="CA58" s="45">
        <v>6.4279681207379704E-6</v>
      </c>
      <c r="CB58" s="45">
        <v>5.94543294676593E-3</v>
      </c>
      <c r="CC58" s="45">
        <v>1.05191319165285E-4</v>
      </c>
      <c r="CD58" s="45">
        <v>3.3945282916484601E-4</v>
      </c>
      <c r="CE58" s="45">
        <v>1.68566631228674E-4</v>
      </c>
      <c r="CF58" s="45">
        <v>2.1050741165037001E-4</v>
      </c>
      <c r="CG58" s="23"/>
      <c r="CH58" s="21">
        <v>28.400768280029201</v>
      </c>
      <c r="CI58" s="21"/>
      <c r="CJ58" s="38"/>
      <c r="CL58" s="88">
        <v>0</v>
      </c>
      <c r="CM58" s="1">
        <f>-141.652668330453*2</f>
        <v>-283.30533666090599</v>
      </c>
      <c r="CN58" s="20">
        <v>0</v>
      </c>
    </row>
    <row r="59" spans="2:92" s="1" customFormat="1" x14ac:dyDescent="0.25">
      <c r="B59" s="2" t="s">
        <v>253</v>
      </c>
      <c r="C59" s="1" t="s">
        <v>223</v>
      </c>
      <c r="D59" s="20" t="s">
        <v>267</v>
      </c>
      <c r="E59" s="19">
        <v>60</v>
      </c>
      <c r="F59" s="1">
        <v>30</v>
      </c>
      <c r="G59" s="21">
        <v>0</v>
      </c>
      <c r="H59" s="21">
        <v>0</v>
      </c>
      <c r="I59" s="21">
        <v>0</v>
      </c>
      <c r="J59" s="21">
        <v>0</v>
      </c>
      <c r="K59" s="21">
        <f t="shared" si="16"/>
        <v>-1.1162221558585421</v>
      </c>
      <c r="L59" s="1">
        <v>0</v>
      </c>
      <c r="M59" s="14">
        <v>11</v>
      </c>
      <c r="N59" s="24">
        <f>57.256290993621*2</f>
        <v>114.512581987242</v>
      </c>
      <c r="O59" s="23">
        <v>0</v>
      </c>
      <c r="P59" s="23">
        <f>120.24992160687*2</f>
        <v>240.49984321374001</v>
      </c>
      <c r="Q59" s="23">
        <f t="shared" si="17"/>
        <v>58.181003155438702</v>
      </c>
      <c r="R59" s="23">
        <f t="shared" si="18"/>
        <v>182.3188400583013</v>
      </c>
      <c r="S59" s="25">
        <f t="shared" si="19"/>
        <v>2.1002045280974837</v>
      </c>
      <c r="T59" s="21">
        <v>0</v>
      </c>
      <c r="U59" s="21">
        <f>-25.6868604663898*2</f>
        <v>-51.373720932779598</v>
      </c>
      <c r="V59" s="21">
        <v>0</v>
      </c>
      <c r="W59" s="21">
        <f t="shared" si="12"/>
        <v>50</v>
      </c>
      <c r="X59" s="32">
        <f t="shared" si="21"/>
        <v>24.191701074720186</v>
      </c>
      <c r="Y59" s="35">
        <f t="shared" si="11"/>
        <v>1.5451183266957933</v>
      </c>
      <c r="Z59" s="25">
        <f t="shared" si="15"/>
        <v>0</v>
      </c>
      <c r="AA59" s="25">
        <f t="shared" si="8"/>
        <v>3.2450645061729122</v>
      </c>
      <c r="AB59" s="25">
        <f t="shared" si="13"/>
        <v>0</v>
      </c>
      <c r="AC59" s="25">
        <f t="shared" si="10"/>
        <v>-0.69318564254045656</v>
      </c>
      <c r="AD59" s="34">
        <f t="shared" si="14"/>
        <v>0</v>
      </c>
      <c r="AE59" s="2"/>
      <c r="AF59" s="24" t="s">
        <v>94</v>
      </c>
      <c r="AG59" s="23" t="s">
        <v>94</v>
      </c>
      <c r="AH59" s="23">
        <v>4.4221017264997302</v>
      </c>
      <c r="AI59" s="23">
        <v>28.214297512391301</v>
      </c>
      <c r="AJ59" s="23">
        <f>3.38325282914031*2</f>
        <v>6.7665056582806198</v>
      </c>
      <c r="AK59" s="23">
        <f>22.0816642278922*2</f>
        <v>44.163328455784402</v>
      </c>
      <c r="AL59" s="23">
        <f>20.8265953116111*2</f>
        <v>41.653190623222201</v>
      </c>
      <c r="AM59" s="23">
        <f>38.2806323486401*2</f>
        <v>76.561264697280194</v>
      </c>
      <c r="AN59" s="23" t="s">
        <v>94</v>
      </c>
      <c r="AO59" s="23" t="s">
        <v>94</v>
      </c>
      <c r="AP59" s="23">
        <v>7.4243114770346699</v>
      </c>
      <c r="AQ59" s="23">
        <v>12.4876014777747</v>
      </c>
      <c r="AR59" s="23">
        <f>1.66444833316704*2</f>
        <v>3.3288966663340802</v>
      </c>
      <c r="AS59" s="23">
        <f>20.7552753259685*2</f>
        <v>41.510550651937002</v>
      </c>
      <c r="AT59" s="23">
        <f>7.30668889228437*2</f>
        <v>14.61337778456874</v>
      </c>
      <c r="AU59" s="23">
        <f>4.40083692354797*2</f>
        <v>8.8016738470959393</v>
      </c>
      <c r="AV59" s="23" t="s">
        <v>94</v>
      </c>
      <c r="AW59" s="23" t="s">
        <v>94</v>
      </c>
      <c r="AX59" s="23">
        <v>5.1516380301342997</v>
      </c>
      <c r="AY59" s="23">
        <v>-1.39596802359818</v>
      </c>
      <c r="AZ59" s="23" t="s">
        <v>94</v>
      </c>
      <c r="BA59" s="23" t="s">
        <v>94</v>
      </c>
      <c r="BB59" s="23">
        <v>2.93501901421623</v>
      </c>
      <c r="BC59" s="23">
        <v>-1.4341631299056601</v>
      </c>
      <c r="BD59" s="23" t="s">
        <v>94</v>
      </c>
      <c r="BE59" s="23" t="s">
        <v>94</v>
      </c>
      <c r="BF59" s="23">
        <v>1.8688516544667999</v>
      </c>
      <c r="BG59" s="23">
        <v>-0.34562240622984902</v>
      </c>
      <c r="BH59" s="23" t="s">
        <v>94</v>
      </c>
      <c r="BI59" s="23" t="s">
        <v>94</v>
      </c>
      <c r="BJ59" s="23">
        <v>0.64709514442836402</v>
      </c>
      <c r="BK59" s="36">
        <v>-1.8658078366500599E-2</v>
      </c>
      <c r="BL59" s="2"/>
      <c r="BM59" s="35" t="s">
        <v>94</v>
      </c>
      <c r="BN59" s="21" t="s">
        <v>94</v>
      </c>
      <c r="BO59" s="25">
        <v>0.12608411896272301</v>
      </c>
      <c r="BP59" s="21">
        <v>57.818220906340997</v>
      </c>
      <c r="BQ59" s="25" t="s">
        <v>94</v>
      </c>
      <c r="BR59" s="21" t="s">
        <v>94</v>
      </c>
      <c r="BS59" s="25">
        <v>0.12609381717141699</v>
      </c>
      <c r="BT59" s="32">
        <v>64.845086159791293</v>
      </c>
      <c r="BV59" s="37">
        <f>7081572/1000000</f>
        <v>7.0815720000000004</v>
      </c>
      <c r="BW59" s="1">
        <v>1000</v>
      </c>
      <c r="BX59" s="1">
        <v>750</v>
      </c>
      <c r="BY59" s="21">
        <v>4.3933618383892101</v>
      </c>
      <c r="BZ59" s="21">
        <v>17.621479378413401</v>
      </c>
      <c r="CA59" s="45">
        <v>6.2922335006972204E-6</v>
      </c>
      <c r="CB59" s="45">
        <v>5.8467597658768602E-3</v>
      </c>
      <c r="CC59" s="45">
        <v>1.05192766966341E-4</v>
      </c>
      <c r="CD59" s="45">
        <v>3.00229441536859E-4</v>
      </c>
      <c r="CE59" s="45">
        <v>1.5203168176705E-4</v>
      </c>
      <c r="CF59" s="45">
        <v>1.9716394168811901E-4</v>
      </c>
      <c r="CG59" s="23"/>
      <c r="CH59" s="21">
        <v>7.73504638671875</v>
      </c>
      <c r="CI59" s="21"/>
      <c r="CJ59" s="38"/>
      <c r="CL59" s="88">
        <v>0</v>
      </c>
      <c r="CM59" s="1">
        <f>-140.385506844892*2</f>
        <v>-280.77101368978401</v>
      </c>
      <c r="CN59" s="20">
        <v>0</v>
      </c>
    </row>
    <row r="60" spans="2:92" s="1" customFormat="1" x14ac:dyDescent="0.25">
      <c r="B60" s="2" t="s">
        <v>254</v>
      </c>
      <c r="C60" s="1" t="s">
        <v>224</v>
      </c>
      <c r="D60" s="20" t="s">
        <v>267</v>
      </c>
      <c r="E60" s="19">
        <v>60</v>
      </c>
      <c r="F60" s="1">
        <v>40</v>
      </c>
      <c r="G60" s="21">
        <v>0</v>
      </c>
      <c r="H60" s="21">
        <v>0</v>
      </c>
      <c r="I60" s="21">
        <v>0</v>
      </c>
      <c r="J60" s="21">
        <v>0</v>
      </c>
      <c r="K60" s="21">
        <f t="shared" si="16"/>
        <v>-0.74412195121600655</v>
      </c>
      <c r="L60" s="1">
        <v>0</v>
      </c>
      <c r="M60" s="14">
        <v>11</v>
      </c>
      <c r="N60" s="24">
        <f>58.0320071994636*2</f>
        <v>116.0640143989272</v>
      </c>
      <c r="O60" s="23">
        <v>0</v>
      </c>
      <c r="P60" s="23">
        <f>126.932439950981*2</f>
        <v>253.86487990196201</v>
      </c>
      <c r="Q60" s="23">
        <f t="shared" si="17"/>
        <v>73.180906643991875</v>
      </c>
      <c r="R60" s="23">
        <f t="shared" si="18"/>
        <v>180.68397325797011</v>
      </c>
      <c r="S60" s="25">
        <f t="shared" si="19"/>
        <v>2.1872832954872234</v>
      </c>
      <c r="T60" s="21">
        <v>0</v>
      </c>
      <c r="U60" s="21">
        <f>-18.7806395765065*2</f>
        <v>-37.561279153012997</v>
      </c>
      <c r="V60" s="21">
        <v>0</v>
      </c>
      <c r="W60" s="21">
        <f t="shared" si="12"/>
        <v>50</v>
      </c>
      <c r="X60" s="32">
        <f t="shared" si="21"/>
        <v>28.826715484336788</v>
      </c>
      <c r="Y60" s="35">
        <f t="shared" si="11"/>
        <v>1.5660518050116672</v>
      </c>
      <c r="Z60" s="25">
        <f t="shared" si="15"/>
        <v>0</v>
      </c>
      <c r="AA60" s="25">
        <f t="shared" si="8"/>
        <v>3.4253989529696338</v>
      </c>
      <c r="AB60" s="25">
        <f t="shared" si="13"/>
        <v>0</v>
      </c>
      <c r="AC60" s="25">
        <f t="shared" si="10"/>
        <v>-0.50681435861714275</v>
      </c>
      <c r="AD60" s="34">
        <f t="shared" si="14"/>
        <v>0</v>
      </c>
      <c r="AE60" s="2"/>
      <c r="AF60" s="24" t="s">
        <v>94</v>
      </c>
      <c r="AG60" s="23" t="s">
        <v>94</v>
      </c>
      <c r="AH60" s="23">
        <v>5.1264524891648797</v>
      </c>
      <c r="AI60" s="23">
        <v>35.885092276984501</v>
      </c>
      <c r="AJ60" s="23">
        <f>3.54901960482181*2</f>
        <v>7.0980392096436198</v>
      </c>
      <c r="AK60" s="23">
        <f>23.6057092983661*2</f>
        <v>47.211418596732202</v>
      </c>
      <c r="AL60" s="23">
        <f>21.5974545169982*2</f>
        <v>43.194909033996403</v>
      </c>
      <c r="AM60" s="23">
        <f>38.1294746734614*2</f>
        <v>76.258949346922805</v>
      </c>
      <c r="AN60" s="23" t="s">
        <v>94</v>
      </c>
      <c r="AO60" s="23" t="s">
        <v>94</v>
      </c>
      <c r="AP60" s="23">
        <v>6.8636715850785501</v>
      </c>
      <c r="AQ60" s="23">
        <v>12.618923213979199</v>
      </c>
      <c r="AR60" s="23">
        <f>1.54282730296552*2</f>
        <v>3.0856546059310399</v>
      </c>
      <c r="AS60" s="23">
        <f>16.2293860490987*2</f>
        <v>32.4587720981974</v>
      </c>
      <c r="AT60" s="23">
        <f>7.62665424945345*2</f>
        <v>15.2533084989069</v>
      </c>
      <c r="AU60" s="23">
        <f>6.8468652785317*2</f>
        <v>13.6937305570634</v>
      </c>
      <c r="AV60" s="23" t="s">
        <v>94</v>
      </c>
      <c r="AW60" s="23" t="s">
        <v>94</v>
      </c>
      <c r="AX60" s="23">
        <v>4.7281771688532199</v>
      </c>
      <c r="AY60" s="23">
        <v>-1.3965440302929299</v>
      </c>
      <c r="AZ60" s="23" t="s">
        <v>94</v>
      </c>
      <c r="BA60" s="23" t="s">
        <v>94</v>
      </c>
      <c r="BB60" s="23">
        <v>2.9824257482091601</v>
      </c>
      <c r="BC60" s="23">
        <v>-1.5496553695486699</v>
      </c>
      <c r="BD60" s="23" t="s">
        <v>94</v>
      </c>
      <c r="BE60" s="23" t="s">
        <v>94</v>
      </c>
      <c r="BF60" s="23">
        <v>2.0364948454754499</v>
      </c>
      <c r="BG60" s="23">
        <v>5.0228770064016402E-2</v>
      </c>
      <c r="BH60" s="23" t="s">
        <v>94</v>
      </c>
      <c r="BI60" s="23" t="s">
        <v>94</v>
      </c>
      <c r="BJ60" s="23">
        <v>0.57753375900826498</v>
      </c>
      <c r="BK60" s="36">
        <v>-6.9724565652085096E-2</v>
      </c>
      <c r="BL60" s="2"/>
      <c r="BM60" s="35" t="s">
        <v>94</v>
      </c>
      <c r="BN60" s="21" t="s">
        <v>94</v>
      </c>
      <c r="BO60" s="25">
        <v>0.125672403169935</v>
      </c>
      <c r="BP60" s="21">
        <v>56.411389260328903</v>
      </c>
      <c r="BQ60" s="25" t="s">
        <v>94</v>
      </c>
      <c r="BR60" s="21" t="s">
        <v>94</v>
      </c>
      <c r="BS60" s="25">
        <v>0.12562627551171801</v>
      </c>
      <c r="BT60" s="32">
        <v>66.859666770758693</v>
      </c>
      <c r="BV60" s="37">
        <f>7068540/1000000</f>
        <v>7.0685399999999996</v>
      </c>
      <c r="BW60" s="1">
        <v>1000</v>
      </c>
      <c r="BX60" s="1">
        <v>750</v>
      </c>
      <c r="BY60" s="21">
        <v>4.4239532259733902</v>
      </c>
      <c r="BZ60" s="21">
        <v>17.762889762402502</v>
      </c>
      <c r="CA60" s="45">
        <v>4.3642414035172797E-6</v>
      </c>
      <c r="CB60" s="45">
        <v>4.4940698049571199E-3</v>
      </c>
      <c r="CC60" s="45">
        <v>7.8828671523642897E-5</v>
      </c>
      <c r="CD60" s="45">
        <v>2.01629607270756E-4</v>
      </c>
      <c r="CE60" s="45">
        <v>1.03315878236241E-4</v>
      </c>
      <c r="CF60" s="45">
        <v>1.3386510182497301E-4</v>
      </c>
      <c r="CG60" s="23"/>
      <c r="CH60" s="21">
        <v>23.556289672851499</v>
      </c>
      <c r="CI60" s="21"/>
      <c r="CJ60" s="38"/>
      <c r="CL60" s="88">
        <v>0</v>
      </c>
      <c r="CM60" s="1">
        <f>-139.126659408637*2</f>
        <v>-278.25331881727402</v>
      </c>
      <c r="CN60" s="20">
        <v>0</v>
      </c>
    </row>
    <row r="61" spans="2:92" s="1" customFormat="1" x14ac:dyDescent="0.25">
      <c r="B61" s="2" t="s">
        <v>255</v>
      </c>
      <c r="C61" s="1" t="s">
        <v>225</v>
      </c>
      <c r="D61" s="20" t="s">
        <v>267</v>
      </c>
      <c r="E61" s="19">
        <v>60</v>
      </c>
      <c r="F61" s="1">
        <v>50</v>
      </c>
      <c r="G61" s="21">
        <v>0</v>
      </c>
      <c r="H61" s="21">
        <v>0</v>
      </c>
      <c r="I61" s="21">
        <v>0</v>
      </c>
      <c r="J61" s="21">
        <v>0</v>
      </c>
      <c r="K61" s="21">
        <f t="shared" si="16"/>
        <v>-0.37205313099218568</v>
      </c>
      <c r="L61" s="1">
        <v>0</v>
      </c>
      <c r="M61" s="14">
        <v>11</v>
      </c>
      <c r="N61" s="24">
        <f>57.8215453779549*2</f>
        <v>115.6430907559098</v>
      </c>
      <c r="O61" s="23">
        <v>0</v>
      </c>
      <c r="P61" s="23">
        <f>123.265511768265*2</f>
        <v>246.53102353653</v>
      </c>
      <c r="Q61" s="23">
        <f t="shared" si="17"/>
        <v>72.896679776224829</v>
      </c>
      <c r="R61" s="23">
        <f t="shared" si="18"/>
        <v>173.63434376030514</v>
      </c>
      <c r="S61" s="25">
        <f t="shared" si="19"/>
        <v>2.1318266566991713</v>
      </c>
      <c r="T61" s="21">
        <v>0</v>
      </c>
      <c r="U61" s="21">
        <f>-16.3863428385272*2</f>
        <v>-32.772685677054398</v>
      </c>
      <c r="V61" s="21">
        <v>0</v>
      </c>
      <c r="W61" s="21">
        <f t="shared" si="12"/>
        <v>50</v>
      </c>
      <c r="X61" s="32">
        <f t="shared" si="21"/>
        <v>29.568968128436495</v>
      </c>
      <c r="Y61" s="35">
        <f t="shared" si="11"/>
        <v>1.5603722820834511</v>
      </c>
      <c r="Z61" s="25">
        <f t="shared" si="15"/>
        <v>0</v>
      </c>
      <c r="AA61" s="25">
        <f t="shared" si="8"/>
        <v>3.3264432253200198</v>
      </c>
      <c r="AB61" s="25">
        <f t="shared" si="13"/>
        <v>0</v>
      </c>
      <c r="AC61" s="25">
        <f t="shared" si="10"/>
        <v>-0.44220186442306486</v>
      </c>
      <c r="AD61" s="34">
        <f t="shared" si="14"/>
        <v>0</v>
      </c>
      <c r="AE61" s="2"/>
      <c r="AF61" s="24" t="s">
        <v>94</v>
      </c>
      <c r="AG61" s="23" t="s">
        <v>94</v>
      </c>
      <c r="AH61" s="23">
        <v>5.1605380663354801</v>
      </c>
      <c r="AI61" s="23">
        <v>33.683143264100202</v>
      </c>
      <c r="AJ61" s="23">
        <f>3.65765146973689*2</f>
        <v>7.3153029394737796</v>
      </c>
      <c r="AK61" s="23">
        <f>24.9033709348761*2</f>
        <v>49.806741869752202</v>
      </c>
      <c r="AL61" s="23">
        <f>21.9395697385569*2</f>
        <v>43.879139477113803</v>
      </c>
      <c r="AM61" s="23">
        <f>38.2132150066897*2</f>
        <v>76.426430013379402</v>
      </c>
      <c r="AN61" s="23" t="s">
        <v>94</v>
      </c>
      <c r="AO61" s="23" t="s">
        <v>94</v>
      </c>
      <c r="AP61" s="23">
        <v>6.8788637365855498</v>
      </c>
      <c r="AQ61" s="23">
        <v>13.239035281631701</v>
      </c>
      <c r="AR61" s="23">
        <f>1.47944342961533*2</f>
        <v>2.9588868592306601</v>
      </c>
      <c r="AS61" s="23">
        <f>13.8579811684898*2</f>
        <v>27.715962336979601</v>
      </c>
      <c r="AT61" s="23">
        <f>7.67843815124135*2</f>
        <v>15.3568763024827</v>
      </c>
      <c r="AU61" s="23">
        <f>6.26850793229138*2</f>
        <v>12.537015864582759</v>
      </c>
      <c r="AV61" s="23" t="s">
        <v>94</v>
      </c>
      <c r="AW61" s="23" t="s">
        <v>94</v>
      </c>
      <c r="AX61" s="23">
        <v>4.1778255549009504</v>
      </c>
      <c r="AY61" s="23">
        <v>-2.01831012421124</v>
      </c>
      <c r="AZ61" s="23" t="s">
        <v>94</v>
      </c>
      <c r="BA61" s="23" t="s">
        <v>94</v>
      </c>
      <c r="BB61" s="23">
        <v>2.92320915259244</v>
      </c>
      <c r="BC61" s="23">
        <v>-1.3862640685921801</v>
      </c>
      <c r="BD61" s="23" t="s">
        <v>94</v>
      </c>
      <c r="BE61" s="23" t="s">
        <v>94</v>
      </c>
      <c r="BF61" s="23">
        <v>1.91462379738552</v>
      </c>
      <c r="BG61" s="23">
        <v>-0.218868816417228</v>
      </c>
      <c r="BH61" s="23" t="s">
        <v>94</v>
      </c>
      <c r="BI61" s="23" t="s">
        <v>94</v>
      </c>
      <c r="BJ61" s="23">
        <v>0.52761663266957703</v>
      </c>
      <c r="BK61" s="36">
        <v>-5.9671403169670303E-2</v>
      </c>
      <c r="BL61" s="2"/>
      <c r="BM61" s="35" t="s">
        <v>94</v>
      </c>
      <c r="BN61" s="21" t="s">
        <v>94</v>
      </c>
      <c r="BO61" s="25">
        <v>0.124566960028357</v>
      </c>
      <c r="BP61" s="21">
        <v>56.678037348963301</v>
      </c>
      <c r="BQ61" s="25" t="s">
        <v>94</v>
      </c>
      <c r="BR61" s="21" t="s">
        <v>94</v>
      </c>
      <c r="BS61" s="25">
        <v>0.124541757251474</v>
      </c>
      <c r="BT61" s="32">
        <v>67.301503023153103</v>
      </c>
      <c r="BV61" s="37">
        <f>7051526/1000000</f>
        <v>7.051526</v>
      </c>
      <c r="BW61" s="1">
        <v>1000</v>
      </c>
      <c r="BX61" s="1">
        <v>750</v>
      </c>
      <c r="BY61" s="21">
        <v>4.3984410223351897</v>
      </c>
      <c r="BZ61" s="21">
        <v>17.705616042820701</v>
      </c>
      <c r="CA61" s="45">
        <v>6.3048299421787101E-6</v>
      </c>
      <c r="CB61" s="45">
        <v>5.3391884248912202E-3</v>
      </c>
      <c r="CC61" s="45">
        <v>1.19512528803364E-4</v>
      </c>
      <c r="CD61" s="45">
        <v>3.2304799033440901E-4</v>
      </c>
      <c r="CE61" s="45">
        <v>1.6587149581450699E-4</v>
      </c>
      <c r="CF61" s="45">
        <v>2.2838468037061899E-4</v>
      </c>
      <c r="CG61" s="23"/>
      <c r="CH61" s="21">
        <v>23.877685546875</v>
      </c>
      <c r="CI61" s="21"/>
      <c r="CJ61" s="38"/>
      <c r="CL61" s="88">
        <v>0</v>
      </c>
      <c r="CM61" s="1">
        <f>-133.698444695435*2</f>
        <v>-267.39688939087</v>
      </c>
      <c r="CN61" s="20">
        <v>0</v>
      </c>
    </row>
    <row r="62" spans="2:92" s="1" customFormat="1" x14ac:dyDescent="0.25">
      <c r="B62" s="2" t="s">
        <v>256</v>
      </c>
      <c r="C62" s="1" t="s">
        <v>226</v>
      </c>
      <c r="D62" s="20" t="s">
        <v>267</v>
      </c>
      <c r="E62" s="19">
        <v>60</v>
      </c>
      <c r="F62" s="1">
        <v>70</v>
      </c>
      <c r="G62" s="21">
        <v>0</v>
      </c>
      <c r="H62" s="21">
        <v>0</v>
      </c>
      <c r="I62" s="21">
        <v>0</v>
      </c>
      <c r="J62" s="21">
        <v>0</v>
      </c>
      <c r="K62" s="21">
        <f t="shared" si="16"/>
        <v>0.37205313099218562</v>
      </c>
      <c r="L62" s="1">
        <v>0</v>
      </c>
      <c r="M62" s="14">
        <v>11</v>
      </c>
      <c r="N62" s="24">
        <f>57.9112209536929*2</f>
        <v>115.82244190738579</v>
      </c>
      <c r="O62" s="23">
        <v>0</v>
      </c>
      <c r="P62" s="23">
        <f>129.539048828789*2</f>
        <v>259.07809765757798</v>
      </c>
      <c r="Q62" s="23">
        <f t="shared" si="17"/>
        <v>92.270839329439042</v>
      </c>
      <c r="R62" s="23">
        <f t="shared" si="18"/>
        <v>166.80725832813894</v>
      </c>
      <c r="S62" s="25">
        <f t="shared" si="19"/>
        <v>2.2368557715675053</v>
      </c>
      <c r="T62" s="21">
        <v>0</v>
      </c>
      <c r="U62" s="21">
        <f>-6.02058907137979*2</f>
        <v>-12.041178142759581</v>
      </c>
      <c r="V62" s="21">
        <v>0</v>
      </c>
      <c r="W62" s="21">
        <f t="shared" si="12"/>
        <v>50</v>
      </c>
      <c r="X62" s="32">
        <f t="shared" si="21"/>
        <v>35.615067488797479</v>
      </c>
      <c r="Y62" s="35">
        <f t="shared" si="11"/>
        <v>1.5627922672610663</v>
      </c>
      <c r="Z62" s="25">
        <f t="shared" si="15"/>
        <v>0</v>
      </c>
      <c r="AA62" s="25">
        <f t="shared" si="8"/>
        <v>3.4957409027839832</v>
      </c>
      <c r="AB62" s="25">
        <f t="shared" si="13"/>
        <v>0</v>
      </c>
      <c r="AC62" s="25">
        <f t="shared" si="10"/>
        <v>-0.16247162277294086</v>
      </c>
      <c r="AD62" s="34">
        <f t="shared" si="14"/>
        <v>0</v>
      </c>
      <c r="AE62" s="2"/>
      <c r="AF62" s="24" t="s">
        <v>94</v>
      </c>
      <c r="AG62" s="23" t="s">
        <v>94</v>
      </c>
      <c r="AH62" s="23">
        <v>4.9350461605843003</v>
      </c>
      <c r="AI62" s="23">
        <v>39.9552473013878</v>
      </c>
      <c r="AJ62" s="23">
        <f>3.9431374616297*2</f>
        <v>7.8862749232593998</v>
      </c>
      <c r="AK62" s="23">
        <f>27.9365526682127*2</f>
        <v>55.873105336425397</v>
      </c>
      <c r="AL62" s="23">
        <f>22.5044036455177*2</f>
        <v>45.008807291035403</v>
      </c>
      <c r="AM62" s="23">
        <f>38.0465148469304*2</f>
        <v>76.0930296938608</v>
      </c>
      <c r="AN62" s="23" t="s">
        <v>94</v>
      </c>
      <c r="AO62" s="23" t="s">
        <v>94</v>
      </c>
      <c r="AP62" s="23">
        <v>6.9307335481244703</v>
      </c>
      <c r="AQ62" s="23">
        <v>13.2925743673278</v>
      </c>
      <c r="AR62" s="23">
        <f>1.35123513488276*2</f>
        <v>2.7024702697655201</v>
      </c>
      <c r="AS62" s="23">
        <f>9.56248359544265*2</f>
        <v>19.1249671908853</v>
      </c>
      <c r="AT62" s="23">
        <f>7.4189228262795*2</f>
        <v>14.837845652559</v>
      </c>
      <c r="AU62" s="23">
        <f>8.3956763950109*2</f>
        <v>16.791352790021801</v>
      </c>
      <c r="AV62" s="23" t="s">
        <v>94</v>
      </c>
      <c r="AW62" s="23" t="s">
        <v>94</v>
      </c>
      <c r="AX62" s="23">
        <v>3.69048498144506</v>
      </c>
      <c r="AY62" s="23">
        <v>-1.96434852045859</v>
      </c>
      <c r="AZ62" s="23" t="s">
        <v>94</v>
      </c>
      <c r="BA62" s="23" t="s">
        <v>94</v>
      </c>
      <c r="BB62" s="23">
        <v>3.1071539090573501</v>
      </c>
      <c r="BC62" s="23">
        <v>-1.92392566315845</v>
      </c>
      <c r="BD62" s="23" t="s">
        <v>94</v>
      </c>
      <c r="BE62" s="23" t="s">
        <v>94</v>
      </c>
      <c r="BF62" s="23">
        <v>2.0559116852653099</v>
      </c>
      <c r="BG62" s="23">
        <v>-0.206910545295037</v>
      </c>
      <c r="BH62" s="23" t="s">
        <v>94</v>
      </c>
      <c r="BI62" s="23" t="s">
        <v>94</v>
      </c>
      <c r="BJ62" s="23">
        <v>0.613755065292521</v>
      </c>
      <c r="BK62" s="36">
        <v>-0.31013444421386499</v>
      </c>
      <c r="BL62" s="2"/>
      <c r="BM62" s="35" t="s">
        <v>94</v>
      </c>
      <c r="BN62" s="21" t="s">
        <v>94</v>
      </c>
      <c r="BO62" s="25">
        <v>0.12560312657463801</v>
      </c>
      <c r="BP62" s="21">
        <v>55.453837314168403</v>
      </c>
      <c r="BQ62" s="25" t="s">
        <v>94</v>
      </c>
      <c r="BR62" s="21" t="s">
        <v>94</v>
      </c>
      <c r="BS62" s="25">
        <v>0.12559556875081501</v>
      </c>
      <c r="BT62" s="32">
        <v>66.925631220644902</v>
      </c>
      <c r="BV62" s="37">
        <f>7104822/1000000</f>
        <v>7.1048220000000004</v>
      </c>
      <c r="BW62" s="1">
        <v>1000</v>
      </c>
      <c r="BX62" s="1">
        <v>750</v>
      </c>
      <c r="BY62" s="21">
        <v>4.5565775402478099</v>
      </c>
      <c r="BZ62" s="21">
        <v>18.290316326791402</v>
      </c>
      <c r="CA62" s="45">
        <v>8.2646367655569706E-6</v>
      </c>
      <c r="CB62" s="45">
        <v>4.7651612706246602E-3</v>
      </c>
      <c r="CC62" s="45">
        <v>1.4524002176867501E-4</v>
      </c>
      <c r="CD62" s="45">
        <v>4.6641465054659398E-4</v>
      </c>
      <c r="CE62" s="45">
        <v>2.28528248918727E-4</v>
      </c>
      <c r="CF62" s="45">
        <v>3.32492058899805E-4</v>
      </c>
      <c r="CG62" s="23"/>
      <c r="CH62" s="21">
        <v>23.820205688476499</v>
      </c>
      <c r="CI62" s="21"/>
      <c r="CJ62" s="38"/>
      <c r="CL62" s="88">
        <v>0</v>
      </c>
      <c r="CM62" s="1">
        <f>-128.441588912667*2</f>
        <v>-256.88317782533397</v>
      </c>
      <c r="CN62" s="20">
        <v>0</v>
      </c>
    </row>
    <row r="63" spans="2:92" s="1" customFormat="1" x14ac:dyDescent="0.25">
      <c r="B63" s="2" t="s">
        <v>257</v>
      </c>
      <c r="C63" s="1" t="s">
        <v>230</v>
      </c>
      <c r="D63" s="20" t="s">
        <v>267</v>
      </c>
      <c r="E63" s="19">
        <v>20</v>
      </c>
      <c r="F63" s="1">
        <v>80</v>
      </c>
      <c r="G63" s="21">
        <v>0</v>
      </c>
      <c r="H63" s="21">
        <v>0</v>
      </c>
      <c r="I63" s="21">
        <v>0</v>
      </c>
      <c r="J63" s="21">
        <v>0</v>
      </c>
      <c r="K63" s="21">
        <f t="shared" si="16"/>
        <v>2.2328682427914717</v>
      </c>
      <c r="L63" s="1">
        <v>0</v>
      </c>
      <c r="M63" s="14">
        <v>11</v>
      </c>
      <c r="N63" s="24">
        <f>55.6094007707881*2</f>
        <v>111.2188015415762</v>
      </c>
      <c r="O63" s="23">
        <v>0</v>
      </c>
      <c r="P63" s="23">
        <f>111.883282400451*2</f>
        <v>223.76656480090199</v>
      </c>
      <c r="Q63" s="23">
        <f t="shared" si="17"/>
        <v>65.516622850068202</v>
      </c>
      <c r="R63" s="23">
        <f t="shared" si="18"/>
        <v>158.24994195083377</v>
      </c>
      <c r="S63" s="25">
        <f t="shared" si="19"/>
        <v>2.0119490742511985</v>
      </c>
      <c r="T63" s="21">
        <v>0</v>
      </c>
      <c r="U63" s="21">
        <f>-14.4284821937025*2</f>
        <v>-28.856964387405</v>
      </c>
      <c r="V63" s="21">
        <v>0</v>
      </c>
      <c r="W63" s="21">
        <f t="shared" si="12"/>
        <v>50</v>
      </c>
      <c r="X63" s="32">
        <f t="shared" si="21"/>
        <v>29.279004621786157</v>
      </c>
      <c r="Y63" s="35">
        <f t="shared" si="11"/>
        <v>1.5006753454758128</v>
      </c>
      <c r="Z63" s="25">
        <f t="shared" si="15"/>
        <v>0</v>
      </c>
      <c r="AA63" s="25">
        <f t="shared" si="8"/>
        <v>3.0192823720816588</v>
      </c>
      <c r="AB63" s="25">
        <f t="shared" si="13"/>
        <v>0</v>
      </c>
      <c r="AC63" s="25">
        <f t="shared" si="10"/>
        <v>-0.3893670350805194</v>
      </c>
      <c r="AD63" s="34">
        <f t="shared" si="14"/>
        <v>0</v>
      </c>
      <c r="AE63" s="2"/>
      <c r="AF63" s="24" t="s">
        <v>94</v>
      </c>
      <c r="AG63" s="23" t="s">
        <v>94</v>
      </c>
      <c r="AH63" s="23">
        <v>4.1015207215421503</v>
      </c>
      <c r="AI63" s="23">
        <v>31.341451708169501</v>
      </c>
      <c r="AJ63" s="23">
        <f>4.33003531843338*2</f>
        <v>8.6600706368667595</v>
      </c>
      <c r="AK63" s="23">
        <f>20.9078628920077*2</f>
        <v>41.815725784015399</v>
      </c>
      <c r="AL63" s="23">
        <f>22.8862920009765*2</f>
        <v>45.772584001953</v>
      </c>
      <c r="AM63" s="23">
        <f>37.047110832746*2</f>
        <v>74.094221665492</v>
      </c>
      <c r="AN63" s="23" t="s">
        <v>94</v>
      </c>
      <c r="AO63" s="23" t="s">
        <v>94</v>
      </c>
      <c r="AP63" s="23">
        <v>8.0927836188091504</v>
      </c>
      <c r="AQ63" s="23">
        <v>13.1828191903705</v>
      </c>
      <c r="AR63" s="23">
        <f>1.23900528124156*2</f>
        <v>2.4780105624831199</v>
      </c>
      <c r="AS63" s="23">
        <f>8.05828039592883*2</f>
        <v>16.116560791857658</v>
      </c>
      <c r="AT63" s="23">
        <f>7.19363069262988*2</f>
        <v>14.387261385259761</v>
      </c>
      <c r="AU63" s="23">
        <f>6.58824933865206*2</f>
        <v>13.176498677304121</v>
      </c>
      <c r="AV63" s="23" t="s">
        <v>94</v>
      </c>
      <c r="AW63" s="23" t="s">
        <v>94</v>
      </c>
      <c r="AX63" s="23">
        <v>2.1172053785007998</v>
      </c>
      <c r="AY63" s="23">
        <v>-1.25523193702083</v>
      </c>
      <c r="AZ63" s="23" t="s">
        <v>94</v>
      </c>
      <c r="BA63" s="23" t="s">
        <v>94</v>
      </c>
      <c r="BB63" s="23">
        <v>2.7539783541271099</v>
      </c>
      <c r="BC63" s="23">
        <v>-1.31838577562319</v>
      </c>
      <c r="BD63" s="23" t="s">
        <v>94</v>
      </c>
      <c r="BE63" s="23" t="s">
        <v>94</v>
      </c>
      <c r="BF63" s="23">
        <v>1.73974559585398</v>
      </c>
      <c r="BG63" s="23">
        <v>-0.40829398226039998</v>
      </c>
      <c r="BH63" s="23" t="s">
        <v>94</v>
      </c>
      <c r="BI63" s="23" t="s">
        <v>94</v>
      </c>
      <c r="BJ63" s="23">
        <v>0.29313834360681801</v>
      </c>
      <c r="BK63" s="36">
        <v>-9.7899124671078207E-3</v>
      </c>
      <c r="BL63" s="2"/>
      <c r="BM63" s="35" t="s">
        <v>94</v>
      </c>
      <c r="BN63" s="21" t="s">
        <v>94</v>
      </c>
      <c r="BO63" s="25">
        <v>0.122043490570116</v>
      </c>
      <c r="BP63" s="21">
        <v>51.293796631589402</v>
      </c>
      <c r="BQ63" s="25" t="s">
        <v>94</v>
      </c>
      <c r="BR63" s="21" t="s">
        <v>94</v>
      </c>
      <c r="BS63" s="25">
        <v>0.12205311799011299</v>
      </c>
      <c r="BT63" s="32">
        <v>76.612155768775693</v>
      </c>
      <c r="BV63" s="37">
        <f>6985991/1000000</f>
        <v>6.9859910000000003</v>
      </c>
      <c r="BW63" s="1">
        <v>1000</v>
      </c>
      <c r="BX63" s="1">
        <v>750</v>
      </c>
      <c r="BY63" s="21">
        <v>4.4778147769163104</v>
      </c>
      <c r="BZ63" s="21">
        <v>17.9144431483913</v>
      </c>
      <c r="CA63" s="45">
        <v>6.3666055554527799E-6</v>
      </c>
      <c r="CB63" s="45">
        <v>5.6684503552649401E-3</v>
      </c>
      <c r="CC63" s="45">
        <v>1.44203896269078E-4</v>
      </c>
      <c r="CD63" s="45">
        <v>3.47257073024817E-4</v>
      </c>
      <c r="CE63" s="45">
        <v>1.7556087234306601E-4</v>
      </c>
      <c r="CF63" s="45">
        <v>2.34975468182334E-4</v>
      </c>
      <c r="CG63" s="23"/>
      <c r="CH63" s="21">
        <v>23.569961547851499</v>
      </c>
      <c r="CI63" s="21" t="s">
        <v>286</v>
      </c>
      <c r="CJ63" s="38"/>
      <c r="CL63" s="88">
        <v>0</v>
      </c>
      <c r="CM63" s="1">
        <f>-121.852455302142*2</f>
        <v>-243.70491060428401</v>
      </c>
      <c r="CN63" s="20">
        <v>0</v>
      </c>
    </row>
    <row r="64" spans="2:92" s="1" customFormat="1" x14ac:dyDescent="0.25">
      <c r="B64" s="2" t="s">
        <v>258</v>
      </c>
      <c r="C64" s="1" t="s">
        <v>227</v>
      </c>
      <c r="D64" s="20" t="s">
        <v>267</v>
      </c>
      <c r="E64" s="19">
        <v>30</v>
      </c>
      <c r="F64" s="1">
        <v>80</v>
      </c>
      <c r="G64" s="21">
        <v>0</v>
      </c>
      <c r="H64" s="21">
        <v>0</v>
      </c>
      <c r="I64" s="21">
        <v>0</v>
      </c>
      <c r="J64" s="21">
        <v>0</v>
      </c>
      <c r="K64" s="21">
        <f t="shared" si="16"/>
        <v>1.8605795647082228</v>
      </c>
      <c r="L64" s="1">
        <v>0</v>
      </c>
      <c r="M64" s="14">
        <v>11</v>
      </c>
      <c r="N64" s="24">
        <f>55.0349987997729*2</f>
        <v>110.0699975995458</v>
      </c>
      <c r="O64" s="23">
        <v>0</v>
      </c>
      <c r="P64" s="23">
        <f>122.659250450238*2</f>
        <v>245.31850090047601</v>
      </c>
      <c r="Q64" s="23">
        <f t="shared" si="17"/>
        <v>91.48783425550846</v>
      </c>
      <c r="R64" s="23">
        <f t="shared" si="18"/>
        <v>153.83066664496755</v>
      </c>
      <c r="S64" s="25">
        <f t="shared" si="19"/>
        <v>2.2287499432223874</v>
      </c>
      <c r="T64" s="21">
        <v>0</v>
      </c>
      <c r="U64" s="21">
        <f>-2.47014444438286*2</f>
        <v>-4.9402888887657204</v>
      </c>
      <c r="V64" s="21">
        <v>0</v>
      </c>
      <c r="W64" s="21">
        <f t="shared" si="12"/>
        <v>50</v>
      </c>
      <c r="X64" s="32">
        <f t="shared" si="21"/>
        <v>37.293491489508341</v>
      </c>
      <c r="Y64" s="35">
        <f t="shared" si="11"/>
        <v>1.4851745333047162</v>
      </c>
      <c r="Z64" s="25">
        <f t="shared" si="15"/>
        <v>0</v>
      </c>
      <c r="AA64" s="25">
        <f t="shared" si="8"/>
        <v>3.310082656778222</v>
      </c>
      <c r="AB64" s="25">
        <f t="shared" si="13"/>
        <v>0</v>
      </c>
      <c r="AC64" s="25">
        <f t="shared" si="10"/>
        <v>-6.6659320475840375E-2</v>
      </c>
      <c r="AD64" s="34">
        <f t="shared" si="14"/>
        <v>0</v>
      </c>
      <c r="AE64" s="2"/>
      <c r="AF64" s="24" t="s">
        <v>94</v>
      </c>
      <c r="AG64" s="23" t="s">
        <v>94</v>
      </c>
      <c r="AH64" s="23">
        <v>4.6258473132645097</v>
      </c>
      <c r="AI64" s="23">
        <v>35.511000013314998</v>
      </c>
      <c r="AJ64" s="23">
        <f>4.07891418186778*2</f>
        <v>8.1578283637355593</v>
      </c>
      <c r="AK64" s="23">
        <f>27.7301581281744*2</f>
        <v>55.460316256348797</v>
      </c>
      <c r="AL64" s="23">
        <f>22.2621250885576*2</f>
        <v>44.524250177115199</v>
      </c>
      <c r="AM64" s="23">
        <f>36.1970499999473*2</f>
        <v>72.394099999894607</v>
      </c>
      <c r="AN64" s="23" t="s">
        <v>94</v>
      </c>
      <c r="AO64" s="23" t="s">
        <v>94</v>
      </c>
      <c r="AP64" s="23">
        <v>7.4807016132293596</v>
      </c>
      <c r="AQ64" s="23">
        <v>13.368716457866</v>
      </c>
      <c r="AR64" s="23">
        <f>1.1598344213232*2</f>
        <v>2.3196688426463998</v>
      </c>
      <c r="AS64" s="23">
        <f>7.60286335364532*2</f>
        <v>15.205726707290641</v>
      </c>
      <c r="AT64" s="23">
        <f>7.27733857232221*2</f>
        <v>14.554677144644421</v>
      </c>
      <c r="AU64" s="23">
        <f>8.10395372214219*2</f>
        <v>16.20790744428438</v>
      </c>
      <c r="AV64" s="23" t="s">
        <v>94</v>
      </c>
      <c r="AW64" s="23" t="s">
        <v>94</v>
      </c>
      <c r="AX64" s="23">
        <v>2.59238946719237</v>
      </c>
      <c r="AY64" s="23">
        <v>-1.8069112887186001</v>
      </c>
      <c r="AZ64" s="23" t="s">
        <v>94</v>
      </c>
      <c r="BA64" s="23" t="s">
        <v>94</v>
      </c>
      <c r="BB64" s="23">
        <v>2.7868522199883499</v>
      </c>
      <c r="BC64" s="23">
        <v>-1.34947214153996</v>
      </c>
      <c r="BD64" s="23" t="s">
        <v>94</v>
      </c>
      <c r="BE64" s="23" t="s">
        <v>94</v>
      </c>
      <c r="BF64" s="23">
        <v>1.44579973381572</v>
      </c>
      <c r="BG64" s="23">
        <v>-0.129467878317269</v>
      </c>
      <c r="BH64" s="23" t="s">
        <v>94</v>
      </c>
      <c r="BI64" s="23" t="s">
        <v>94</v>
      </c>
      <c r="BJ64" s="23">
        <v>0.35875644851059701</v>
      </c>
      <c r="BK64" s="36">
        <v>1.5119019778665199E-2</v>
      </c>
      <c r="BL64" s="2"/>
      <c r="BM64" s="35" t="s">
        <v>94</v>
      </c>
      <c r="BN64" s="21" t="s">
        <v>94</v>
      </c>
      <c r="BO64" s="25">
        <v>0.123839305525847</v>
      </c>
      <c r="BP64" s="21">
        <v>51.196506390807599</v>
      </c>
      <c r="BQ64" s="25" t="s">
        <v>94</v>
      </c>
      <c r="BR64" s="21" t="s">
        <v>94</v>
      </c>
      <c r="BS64" s="25">
        <v>0.123835541920064</v>
      </c>
      <c r="BT64" s="32">
        <v>73.677594039912094</v>
      </c>
      <c r="BV64" s="37">
        <f>7091392/1000000</f>
        <v>7.0913919999999999</v>
      </c>
      <c r="BW64" s="1">
        <v>1000</v>
      </c>
      <c r="BX64" s="1">
        <v>750</v>
      </c>
      <c r="BY64" s="21">
        <v>5.2531045572237796</v>
      </c>
      <c r="BZ64" s="21">
        <v>23.2648189672054</v>
      </c>
      <c r="CA64" s="45">
        <v>7.2903580239912102E-6</v>
      </c>
      <c r="CB64" s="45">
        <v>5.5247003998777399E-3</v>
      </c>
      <c r="CC64" s="45">
        <v>1.4296690774204899E-4</v>
      </c>
      <c r="CD64" s="45">
        <v>4.0619113417798098E-4</v>
      </c>
      <c r="CE64" s="45">
        <v>2.05703192304869E-4</v>
      </c>
      <c r="CF64" s="45">
        <v>2.9340677435650997E-4</v>
      </c>
      <c r="CG64" s="23"/>
      <c r="CH64" s="21">
        <v>21.722370147705</v>
      </c>
      <c r="CI64" s="21"/>
      <c r="CJ64" s="38"/>
      <c r="CL64" s="88">
        <v>0</v>
      </c>
      <c r="CM64" s="1">
        <f>-118.449613316625*2</f>
        <v>-236.89922663325001</v>
      </c>
      <c r="CN64" s="20">
        <v>0</v>
      </c>
    </row>
    <row r="65" spans="2:92" s="1" customFormat="1" x14ac:dyDescent="0.25">
      <c r="B65" s="2" t="s">
        <v>259</v>
      </c>
      <c r="C65" s="1" t="s">
        <v>228</v>
      </c>
      <c r="D65" s="20" t="s">
        <v>267</v>
      </c>
      <c r="E65" s="19">
        <v>50</v>
      </c>
      <c r="F65" s="1">
        <v>80</v>
      </c>
      <c r="G65" s="21">
        <v>0</v>
      </c>
      <c r="H65" s="21">
        <v>0</v>
      </c>
      <c r="I65" s="21">
        <v>0</v>
      </c>
      <c r="J65" s="21">
        <v>0</v>
      </c>
      <c r="K65" s="21">
        <f t="shared" si="16"/>
        <v>1.1162221558585421</v>
      </c>
      <c r="L65" s="1">
        <v>0</v>
      </c>
      <c r="M65" s="14">
        <v>11</v>
      </c>
      <c r="N65" s="24">
        <f>57.0734419499201*2</f>
        <v>114.1468838998402</v>
      </c>
      <c r="O65" s="23">
        <v>0</v>
      </c>
      <c r="P65" s="23">
        <f>123.363862832488*2</f>
        <v>246.72772566497599</v>
      </c>
      <c r="Q65" s="23">
        <f t="shared" si="17"/>
        <v>81.6466317558708</v>
      </c>
      <c r="R65" s="23">
        <f t="shared" si="18"/>
        <v>165.08109390910516</v>
      </c>
      <c r="S65" s="25">
        <f t="shared" si="19"/>
        <v>2.1614933078810168</v>
      </c>
      <c r="T65" s="21">
        <v>0</v>
      </c>
      <c r="U65" s="21">
        <f>-9.94659939230605*2</f>
        <v>-19.8931987846121</v>
      </c>
      <c r="V65" s="21">
        <v>0</v>
      </c>
      <c r="W65" s="21">
        <f t="shared" si="12"/>
        <v>50</v>
      </c>
      <c r="X65" s="32">
        <f t="shared" si="21"/>
        <v>33.091794420679037</v>
      </c>
      <c r="Y65" s="35">
        <f t="shared" si="11"/>
        <v>1.5401839622174422</v>
      </c>
      <c r="Z65" s="25">
        <f t="shared" si="15"/>
        <v>0</v>
      </c>
      <c r="AA65" s="25">
        <f t="shared" si="8"/>
        <v>3.3290973272386704</v>
      </c>
      <c r="AB65" s="25">
        <f t="shared" si="13"/>
        <v>0</v>
      </c>
      <c r="AC65" s="25">
        <f t="shared" si="10"/>
        <v>-0.2684189412664813</v>
      </c>
      <c r="AD65" s="34">
        <f t="shared" si="14"/>
        <v>0</v>
      </c>
      <c r="AE65" s="2"/>
      <c r="AF65" s="24" t="s">
        <v>94</v>
      </c>
      <c r="AG65" s="23" t="s">
        <v>94</v>
      </c>
      <c r="AH65" s="23">
        <v>5.0681389510315604</v>
      </c>
      <c r="AI65" s="23">
        <v>39.488105393240097</v>
      </c>
      <c r="AJ65" s="23">
        <f>3.33008037462353*2</f>
        <v>6.6601607492470603</v>
      </c>
      <c r="AK65" s="23">
        <f>23.4920619070253*2</f>
        <v>46.984123814050598</v>
      </c>
      <c r="AL65" s="23">
        <f>22.7033239916401*2</f>
        <v>45.406647983280202</v>
      </c>
      <c r="AM65" s="23">
        <f>37.3275362050018*2</f>
        <v>74.655072410003598</v>
      </c>
      <c r="AN65" s="23" t="s">
        <v>94</v>
      </c>
      <c r="AO65" s="23" t="s">
        <v>94</v>
      </c>
      <c r="AP65" s="23">
        <v>7.0029766864835397</v>
      </c>
      <c r="AQ65" s="23">
        <v>13.1466906291035</v>
      </c>
      <c r="AR65" s="23">
        <f>1.33925124666758*2</f>
        <v>2.6785024933351602</v>
      </c>
      <c r="AS65" s="23">
        <f>8.41251866126974*2</f>
        <v>16.82503732253948</v>
      </c>
      <c r="AT65" s="23">
        <f>7.32236584438142*2</f>
        <v>14.644731688762841</v>
      </c>
      <c r="AU65" s="23">
        <f>8.4732740466805*2</f>
        <v>16.946548093360999</v>
      </c>
      <c r="AV65" s="23" t="s">
        <v>94</v>
      </c>
      <c r="AW65" s="23" t="s">
        <v>94</v>
      </c>
      <c r="AX65" s="23">
        <v>3.3190757389053802</v>
      </c>
      <c r="AY65" s="23">
        <v>-1.3391372427008399</v>
      </c>
      <c r="AZ65" s="23" t="s">
        <v>94</v>
      </c>
      <c r="BA65" s="23" t="s">
        <v>94</v>
      </c>
      <c r="BB65" s="23">
        <v>3.3290316728915901</v>
      </c>
      <c r="BC65" s="23">
        <v>-2.1403614668979198</v>
      </c>
      <c r="BD65" s="23" t="s">
        <v>94</v>
      </c>
      <c r="BE65" s="23" t="s">
        <v>94</v>
      </c>
      <c r="BF65" s="23">
        <v>1.80260245322025</v>
      </c>
      <c r="BG65" s="23">
        <v>-0.150002320307697</v>
      </c>
      <c r="BH65" s="23" t="s">
        <v>94</v>
      </c>
      <c r="BI65" s="23" t="s">
        <v>94</v>
      </c>
      <c r="BJ65" s="23">
        <v>0.62497619339844102</v>
      </c>
      <c r="BK65" s="36">
        <v>-0.32304438132039098</v>
      </c>
      <c r="BL65" s="2"/>
      <c r="BM65" s="35" t="s">
        <v>94</v>
      </c>
      <c r="BN65" s="21" t="s">
        <v>94</v>
      </c>
      <c r="BO65" s="25">
        <v>0.123734054468726</v>
      </c>
      <c r="BP65" s="21">
        <v>54.052167594610502</v>
      </c>
      <c r="BQ65" s="25" t="s">
        <v>94</v>
      </c>
      <c r="BR65" s="21" t="s">
        <v>94</v>
      </c>
      <c r="BS65" s="25">
        <v>0.123753142730416</v>
      </c>
      <c r="BT65" s="32">
        <v>70.811667919035997</v>
      </c>
      <c r="BV65" s="37">
        <f>7106465/1000000</f>
        <v>7.106465</v>
      </c>
      <c r="BW65" s="1">
        <v>1000</v>
      </c>
      <c r="BX65" s="1">
        <v>750</v>
      </c>
      <c r="BY65" s="21">
        <v>4.78229340524988</v>
      </c>
      <c r="BZ65" s="21">
        <v>19.2454118232056</v>
      </c>
      <c r="CA65" s="45">
        <v>6.79484508842761E-6</v>
      </c>
      <c r="CB65" s="45">
        <v>5.1531603761725397E-3</v>
      </c>
      <c r="CC65" s="45">
        <v>1.32870171226485E-4</v>
      </c>
      <c r="CD65" s="45">
        <v>3.6021600585200601E-4</v>
      </c>
      <c r="CE65" s="45">
        <v>1.82327359647945E-4</v>
      </c>
      <c r="CF65" s="45">
        <v>2.45568358789708E-4</v>
      </c>
      <c r="CG65" s="23"/>
      <c r="CH65" s="21">
        <v>27.4698486328125</v>
      </c>
      <c r="CI65" s="21"/>
      <c r="CJ65" s="38"/>
      <c r="CL65" s="88">
        <v>0</v>
      </c>
      <c r="CM65" s="1">
        <f>-127.112442310011*2</f>
        <v>-254.22488462002201</v>
      </c>
      <c r="CN65" s="20">
        <v>0</v>
      </c>
    </row>
    <row r="66" spans="2:92" s="1" customFormat="1" x14ac:dyDescent="0.25">
      <c r="B66" s="2" t="s">
        <v>260</v>
      </c>
      <c r="C66" s="1" t="s">
        <v>229</v>
      </c>
      <c r="D66" s="20" t="s">
        <v>267</v>
      </c>
      <c r="E66" s="19">
        <v>60</v>
      </c>
      <c r="F66" s="1">
        <v>80</v>
      </c>
      <c r="G66" s="21">
        <v>0</v>
      </c>
      <c r="H66" s="21">
        <v>0</v>
      </c>
      <c r="I66" s="21">
        <v>0</v>
      </c>
      <c r="J66" s="21">
        <v>0</v>
      </c>
      <c r="K66" s="21">
        <f t="shared" si="16"/>
        <v>0.74412195121600655</v>
      </c>
      <c r="L66" s="1">
        <v>0</v>
      </c>
      <c r="M66" s="14">
        <v>11</v>
      </c>
      <c r="N66" s="24">
        <f>57.5549971110646*2</f>
        <v>115.1099942221292</v>
      </c>
      <c r="O66" s="23">
        <v>0</v>
      </c>
      <c r="P66" s="23">
        <f>126.40804223098*2</f>
        <v>252.81608446196</v>
      </c>
      <c r="Q66" s="23">
        <f t="shared" si="17"/>
        <v>90.99669341810548</v>
      </c>
      <c r="R66" s="23">
        <f t="shared" si="18"/>
        <v>161.81939104385452</v>
      </c>
      <c r="S66" s="25">
        <f t="shared" si="19"/>
        <v>2.1963000360689588</v>
      </c>
      <c r="T66" s="21">
        <v>0</v>
      </c>
      <c r="U66" s="21">
        <f>-4.82375144744346*2</f>
        <v>-9.6475028948869195</v>
      </c>
      <c r="V66" s="21">
        <v>0</v>
      </c>
      <c r="W66" s="21">
        <f t="shared" si="12"/>
        <v>50</v>
      </c>
      <c r="X66" s="32">
        <f t="shared" si="21"/>
        <v>35.993237381143487</v>
      </c>
      <c r="Y66" s="35">
        <f t="shared" si="11"/>
        <v>1.5531792102834094</v>
      </c>
      <c r="Z66" s="25">
        <f t="shared" si="15"/>
        <v>0</v>
      </c>
      <c r="AA66" s="25">
        <f t="shared" si="8"/>
        <v>3.4112475555670092</v>
      </c>
      <c r="AB66" s="25">
        <f t="shared" si="13"/>
        <v>0</v>
      </c>
      <c r="AC66" s="25">
        <f t="shared" si="10"/>
        <v>-0.13017376144222523</v>
      </c>
      <c r="AD66" s="34">
        <f t="shared" si="14"/>
        <v>0</v>
      </c>
      <c r="AE66" s="2"/>
      <c r="AF66" s="24" t="s">
        <v>94</v>
      </c>
      <c r="AG66" s="23" t="s">
        <v>94</v>
      </c>
      <c r="AH66" s="23">
        <v>4.74620310018559</v>
      </c>
      <c r="AI66" s="23">
        <v>36.608445931390897</v>
      </c>
      <c r="AJ66" s="23">
        <f>4.0102224696976*2</f>
        <v>8.0204449393951993</v>
      </c>
      <c r="AK66" s="23">
        <f>29.0167519321861*2</f>
        <v>58.0335038643722</v>
      </c>
      <c r="AL66" s="23">
        <f>22.5732021139781*2</f>
        <v>45.146404227956197</v>
      </c>
      <c r="AM66" s="23">
        <f>37.9593968260424*2</f>
        <v>75.918793652084801</v>
      </c>
      <c r="AN66" s="23" t="s">
        <v>94</v>
      </c>
      <c r="AO66" s="23" t="s">
        <v>94</v>
      </c>
      <c r="AP66" s="23">
        <v>6.8252525804483701</v>
      </c>
      <c r="AQ66" s="23">
        <v>12.8623131894305</v>
      </c>
      <c r="AR66" s="23">
        <f>1.3872576083783*2</f>
        <v>2.7745152167565998</v>
      </c>
      <c r="AS66" s="23">
        <f>9.16938451248759*2</f>
        <v>18.338769024975178</v>
      </c>
      <c r="AT66" s="23">
        <f>7.40783692151933*2</f>
        <v>14.81567384303866</v>
      </c>
      <c r="AU66" s="23">
        <f>8.034126638262*2</f>
        <v>16.068253276524</v>
      </c>
      <c r="AV66" s="23" t="s">
        <v>94</v>
      </c>
      <c r="AW66" s="23" t="s">
        <v>94</v>
      </c>
      <c r="AX66" s="23">
        <v>3.6675048296438599</v>
      </c>
      <c r="AY66" s="23">
        <v>-1.8661753506951799</v>
      </c>
      <c r="AZ66" s="23" t="s">
        <v>94</v>
      </c>
      <c r="BA66" s="23" t="s">
        <v>94</v>
      </c>
      <c r="BB66" s="23">
        <v>2.9626318721766198</v>
      </c>
      <c r="BC66" s="23">
        <v>-1.66221595970131</v>
      </c>
      <c r="BD66" s="23" t="s">
        <v>94</v>
      </c>
      <c r="BE66" s="23" t="s">
        <v>94</v>
      </c>
      <c r="BF66" s="23">
        <v>1.9172626091216101</v>
      </c>
      <c r="BG66" s="23">
        <v>-0.26333231228303999</v>
      </c>
      <c r="BH66" s="23" t="s">
        <v>94</v>
      </c>
      <c r="BI66" s="23" t="s">
        <v>94</v>
      </c>
      <c r="BJ66" s="23">
        <v>0.74741169664329898</v>
      </c>
      <c r="BK66" s="36">
        <v>-0.163046206552665</v>
      </c>
      <c r="BL66" s="2"/>
      <c r="BM66" s="35" t="s">
        <v>94</v>
      </c>
      <c r="BN66" s="21" t="s">
        <v>94</v>
      </c>
      <c r="BO66" s="25">
        <v>0.124886936667193</v>
      </c>
      <c r="BP66" s="21">
        <v>54.555709837149301</v>
      </c>
      <c r="BQ66" s="25" t="s">
        <v>94</v>
      </c>
      <c r="BR66" s="21" t="s">
        <v>94</v>
      </c>
      <c r="BS66" s="25">
        <v>0.12488543892102499</v>
      </c>
      <c r="BT66" s="32">
        <v>69.633535203887902</v>
      </c>
      <c r="BV66" s="37">
        <f>7087575/1000000</f>
        <v>7.0875750000000002</v>
      </c>
      <c r="BW66" s="1">
        <v>1000</v>
      </c>
      <c r="BX66" s="1">
        <v>750</v>
      </c>
      <c r="BY66" s="21">
        <v>5.1371044331943496</v>
      </c>
      <c r="BZ66" s="21">
        <v>22.7069400999899</v>
      </c>
      <c r="CA66" s="45">
        <v>8.5643636970077398E-6</v>
      </c>
      <c r="CB66" s="45">
        <v>5.1845316467233902E-3</v>
      </c>
      <c r="CC66" s="45">
        <v>1.5401576863141399E-4</v>
      </c>
      <c r="CD66" s="45">
        <v>4.50524734856949E-4</v>
      </c>
      <c r="CE66" s="45">
        <v>2.3209022634703401E-4</v>
      </c>
      <c r="CF66" s="45">
        <v>2.9673751903740202E-4</v>
      </c>
      <c r="CG66" s="23"/>
      <c r="CH66" s="21">
        <v>24.285190582275298</v>
      </c>
      <c r="CI66" s="21"/>
      <c r="CJ66" s="38"/>
      <c r="CL66" s="88">
        <v>0</v>
      </c>
      <c r="CM66" s="1">
        <f>-124.600931103768*2</f>
        <v>-249.20186220753601</v>
      </c>
      <c r="CN66" s="20">
        <v>0</v>
      </c>
    </row>
    <row r="67" spans="2:92" s="1" customFormat="1" x14ac:dyDescent="0.25">
      <c r="B67" s="1" t="s">
        <v>261</v>
      </c>
      <c r="C67" s="1" t="s">
        <v>231</v>
      </c>
      <c r="D67" s="14"/>
      <c r="E67" s="19">
        <v>46.8</v>
      </c>
      <c r="F67" s="1">
        <v>37.4</v>
      </c>
      <c r="G67" s="21">
        <v>3.7499999999999964</v>
      </c>
      <c r="H67" s="21">
        <v>0.9</v>
      </c>
      <c r="I67" s="21">
        <v>10.095000000000001</v>
      </c>
      <c r="J67" s="21">
        <v>9.157</v>
      </c>
      <c r="K67" s="21">
        <f t="shared" si="16"/>
        <v>-0.34972965704074549</v>
      </c>
      <c r="L67" s="1">
        <v>9.0389999999999997</v>
      </c>
      <c r="M67" s="14">
        <v>11</v>
      </c>
      <c r="N67" s="24">
        <v>110.09929674010699</v>
      </c>
      <c r="O67" s="23">
        <v>-0.71494904837752604</v>
      </c>
      <c r="P67" s="23">
        <v>243.05325712717701</v>
      </c>
      <c r="Q67" s="23">
        <f t="shared" si="17"/>
        <v>71.410668343351688</v>
      </c>
      <c r="R67" s="23">
        <f t="shared" si="18"/>
        <v>171.64258878382532</v>
      </c>
      <c r="S67" s="25">
        <f t="shared" si="19"/>
        <v>2.2075822854791909</v>
      </c>
      <c r="T67" s="21">
        <v>-1.3902782306666399</v>
      </c>
      <c r="U67" s="21">
        <v>-34.196738708279597</v>
      </c>
      <c r="V67" s="21">
        <v>-26.295052770537598</v>
      </c>
      <c r="W67" s="21">
        <f t="shared" si="12"/>
        <v>49.597357237690318</v>
      </c>
      <c r="X67" s="32">
        <f t="shared" si="21"/>
        <v>29.380667096341867</v>
      </c>
      <c r="Y67" s="35">
        <f t="shared" si="11"/>
        <v>1.4855698666231334</v>
      </c>
      <c r="Z67" s="25">
        <f t="shared" si="15"/>
        <v>-9.6468078715132525E-3</v>
      </c>
      <c r="AA67" s="25">
        <f t="shared" si="8"/>
        <v>3.2795177213989133</v>
      </c>
      <c r="AB67" s="25">
        <f t="shared" si="13"/>
        <v>-1.8759024869848401E-2</v>
      </c>
      <c r="AC67" s="25">
        <f t="shared" si="10"/>
        <v>-0.46141661269393952</v>
      </c>
      <c r="AD67" s="34">
        <f t="shared" si="14"/>
        <v>-0.35479916033783226</v>
      </c>
      <c r="AE67" s="2"/>
      <c r="AF67" s="24">
        <v>5.02720353370976</v>
      </c>
      <c r="AG67" s="23">
        <v>41.112635081514298</v>
      </c>
      <c r="AH67" s="23">
        <v>3.8820598567565501</v>
      </c>
      <c r="AI67" s="23">
        <v>29.8526224481108</v>
      </c>
      <c r="AJ67" s="23">
        <v>6.9140351555089001</v>
      </c>
      <c r="AK67" s="23">
        <v>46.158918495709202</v>
      </c>
      <c r="AL67" s="23">
        <v>42.105127114477803</v>
      </c>
      <c r="AM67" s="23">
        <v>74.245930414673296</v>
      </c>
      <c r="AN67" s="23">
        <v>7.1259417094781199</v>
      </c>
      <c r="AO67" s="23">
        <v>11.9647903452077</v>
      </c>
      <c r="AP67" s="23">
        <v>7.52168393449349</v>
      </c>
      <c r="AQ67" s="23">
        <v>14.024354219304</v>
      </c>
      <c r="AR67" s="23">
        <v>2.7507119583588802</v>
      </c>
      <c r="AS67" s="23">
        <v>28.498310116277199</v>
      </c>
      <c r="AT67" s="23">
        <v>13.770112485537901</v>
      </c>
      <c r="AU67" s="23">
        <v>11.3586338646626</v>
      </c>
      <c r="AV67" s="23">
        <v>2.6345040821691699</v>
      </c>
      <c r="AW67" s="23">
        <v>-1.39652243202001</v>
      </c>
      <c r="AX67" s="23">
        <v>5.5418141367749199</v>
      </c>
      <c r="AY67" s="23">
        <v>-2.13889239799737</v>
      </c>
      <c r="AZ67" s="23">
        <v>3.5707203255421298</v>
      </c>
      <c r="BA67" s="23">
        <v>-2.1044182666587701</v>
      </c>
      <c r="BB67" s="23">
        <v>2.7053031455978198</v>
      </c>
      <c r="BC67" s="23">
        <v>-1.2032475926398301</v>
      </c>
      <c r="BD67" s="23">
        <v>1.79626341173118</v>
      </c>
      <c r="BE67" s="23">
        <v>5.0346083577449997E-2</v>
      </c>
      <c r="BF67" s="23">
        <v>1.9832922335423</v>
      </c>
      <c r="BG67" s="23">
        <v>-0.34272718412256198</v>
      </c>
      <c r="BH67" s="23">
        <v>0.502491697870173</v>
      </c>
      <c r="BI67" s="23">
        <v>-0.25442503696762597</v>
      </c>
      <c r="BJ67" s="23">
        <v>0.32092987264859801</v>
      </c>
      <c r="BK67" s="36">
        <v>-3.4474689478172699E-2</v>
      </c>
      <c r="BL67" s="2"/>
      <c r="BM67" s="35">
        <v>0.12440939438268001</v>
      </c>
      <c r="BN67" s="21">
        <v>53.496516513204298</v>
      </c>
      <c r="BO67" s="25">
        <v>0.12523483484749301</v>
      </c>
      <c r="BP67" s="21">
        <v>60.439993580169201</v>
      </c>
      <c r="BQ67" s="25">
        <v>0.12438244471021601</v>
      </c>
      <c r="BR67" s="21">
        <v>71.095388641633804</v>
      </c>
      <c r="BS67" s="25">
        <v>0.12523984663374799</v>
      </c>
      <c r="BT67" s="32">
        <v>68.381105302925107</v>
      </c>
      <c r="BV67" s="37">
        <f>14325754/1000000</f>
        <v>14.325754</v>
      </c>
      <c r="BW67" s="1">
        <v>1000</v>
      </c>
      <c r="BX67" s="1">
        <v>750</v>
      </c>
      <c r="BY67" s="21">
        <v>10.007139961388001</v>
      </c>
      <c r="BZ67" s="21">
        <v>39.756705547588801</v>
      </c>
      <c r="CA67" s="45">
        <v>9.6172681799979498E-6</v>
      </c>
      <c r="CB67" s="45">
        <v>5.8266267160718699E-3</v>
      </c>
      <c r="CC67" s="45">
        <v>1.35428533154021E-4</v>
      </c>
      <c r="CD67" s="45">
        <v>3.3893783921336702E-4</v>
      </c>
      <c r="CE67" s="45">
        <v>3.6239686075844799E-4</v>
      </c>
      <c r="CF67" s="45">
        <v>3.1268372574633701E-4</v>
      </c>
      <c r="CG67" s="23"/>
      <c r="CH67" s="21">
        <v>28.4070625305175</v>
      </c>
      <c r="CI67" s="21"/>
      <c r="CJ67" s="38"/>
      <c r="CL67" s="88">
        <v>-1.1743636180566199</v>
      </c>
      <c r="CM67" s="1">
        <v>-264.329586727091</v>
      </c>
      <c r="CN67" s="20">
        <v>-25.7159154433899</v>
      </c>
    </row>
    <row r="68" spans="2:92" s="1" customFormat="1" x14ac:dyDescent="0.25">
      <c r="B68" s="2" t="s">
        <v>263</v>
      </c>
      <c r="C68" s="1" t="s">
        <v>232</v>
      </c>
      <c r="D68" s="14"/>
      <c r="E68" s="19">
        <v>54</v>
      </c>
      <c r="F68" s="1">
        <v>59</v>
      </c>
      <c r="G68" s="21">
        <v>12.149999999999999</v>
      </c>
      <c r="H68" s="21">
        <v>0.1</v>
      </c>
      <c r="I68" s="21">
        <v>5.5179999999999998</v>
      </c>
      <c r="J68" s="21">
        <v>5.226</v>
      </c>
      <c r="K68" s="21">
        <f t="shared" si="16"/>
        <v>0.18602558498889066</v>
      </c>
      <c r="L68" s="1">
        <v>16.324999999999999</v>
      </c>
      <c r="M68" s="14">
        <v>11</v>
      </c>
      <c r="N68" s="24">
        <v>99.133250862364903</v>
      </c>
      <c r="O68" s="23">
        <v>-49.659388087147697</v>
      </c>
      <c r="P68" s="23">
        <v>202.36335000772101</v>
      </c>
      <c r="Q68" s="23">
        <f t="shared" si="17"/>
        <v>63.560977984600221</v>
      </c>
      <c r="R68" s="23">
        <f t="shared" si="18"/>
        <v>138.8023720231208</v>
      </c>
      <c r="S68" s="25">
        <f t="shared" si="19"/>
        <v>2.0413266814852991</v>
      </c>
      <c r="T68" s="21">
        <v>7.9715444024925803</v>
      </c>
      <c r="U68" s="21">
        <v>-19.895003114917401</v>
      </c>
      <c r="V68" s="21">
        <v>-19.240328418594601</v>
      </c>
      <c r="W68" s="21">
        <f t="shared" si="12"/>
        <v>59.458514269808383</v>
      </c>
      <c r="X68" s="32">
        <f t="shared" si="21"/>
        <v>31.409332758216891</v>
      </c>
      <c r="Y68" s="35">
        <f t="shared" si="11"/>
        <v>1.3376050040460772</v>
      </c>
      <c r="Z68" s="25">
        <f t="shared" si="15"/>
        <v>-0.67005414858691437</v>
      </c>
      <c r="AA68" s="25">
        <f t="shared" si="8"/>
        <v>2.7304887840475085</v>
      </c>
      <c r="AB68" s="25">
        <f t="shared" si="13"/>
        <v>0.10756005265633435</v>
      </c>
      <c r="AC68" s="25">
        <f t="shared" si="10"/>
        <v>-0.26844328709620374</v>
      </c>
      <c r="AD68" s="34">
        <f t="shared" si="14"/>
        <v>-0.25960976108746292</v>
      </c>
      <c r="AE68" s="2"/>
      <c r="AF68" s="24">
        <v>3.5347212668351302</v>
      </c>
      <c r="AG68" s="23">
        <v>35.713626800315502</v>
      </c>
      <c r="AH68" s="23">
        <v>3.6059783655396802</v>
      </c>
      <c r="AI68" s="23">
        <v>26.278479200387402</v>
      </c>
      <c r="AJ68" s="23">
        <v>6.2165743789672296</v>
      </c>
      <c r="AK68" s="23">
        <v>43.070773324891</v>
      </c>
      <c r="AL68" s="23">
        <v>36.591140507159103</v>
      </c>
      <c r="AM68" s="23">
        <v>57.831337913585699</v>
      </c>
      <c r="AN68" s="23">
        <v>6.4495033598154103</v>
      </c>
      <c r="AO68" s="23">
        <v>10.938062438280401</v>
      </c>
      <c r="AP68" s="23">
        <v>6.8961360007220103</v>
      </c>
      <c r="AQ68" s="23">
        <v>13.618559110371001</v>
      </c>
      <c r="AR68" s="23">
        <v>2.4393051327248898</v>
      </c>
      <c r="AS68" s="23">
        <v>20.3086433986768</v>
      </c>
      <c r="AT68" s="23">
        <v>12.620852247347999</v>
      </c>
      <c r="AU68" s="23">
        <v>7.3649160647466303</v>
      </c>
      <c r="AV68" s="23">
        <v>2.7126013491159702</v>
      </c>
      <c r="AW68" s="23">
        <v>-1.17331453837456</v>
      </c>
      <c r="AX68" s="23">
        <v>5.6438397225086199</v>
      </c>
      <c r="AY68" s="23">
        <v>-2.1671061855729001</v>
      </c>
      <c r="AZ68" s="23">
        <v>4.4357265292485897</v>
      </c>
      <c r="BA68" s="23">
        <v>-1.8039864394596501</v>
      </c>
      <c r="BB68" s="23">
        <v>2.3685539812313898</v>
      </c>
      <c r="BC68" s="23">
        <v>-1.1411929481744001</v>
      </c>
      <c r="BD68" s="23">
        <v>1.7049492975490701</v>
      </c>
      <c r="BE68" s="23">
        <v>-0.27516443267347002</v>
      </c>
      <c r="BF68" s="23">
        <v>2.0237326253299401</v>
      </c>
      <c r="BG68" s="23">
        <v>-0.152942435655231</v>
      </c>
      <c r="BH68" s="23">
        <v>0.310086442189689</v>
      </c>
      <c r="BI68" s="23">
        <v>-0.15403045638382701</v>
      </c>
      <c r="BJ68" s="23">
        <v>0.26408894360721102</v>
      </c>
      <c r="BK68" s="36">
        <v>-0.109356565150139</v>
      </c>
      <c r="BL68" s="2"/>
      <c r="BM68" s="35">
        <v>0.12291374030379899</v>
      </c>
      <c r="BN68" s="21">
        <v>57.133655355733197</v>
      </c>
      <c r="BO68" s="25">
        <v>0.12538650470992799</v>
      </c>
      <c r="BP68" s="21">
        <v>46.668834971405097</v>
      </c>
      <c r="BQ68" s="25">
        <v>0.122918315955707</v>
      </c>
      <c r="BR68" s="21">
        <v>76.402065214330406</v>
      </c>
      <c r="BS68" s="25">
        <v>0.125429715536065</v>
      </c>
      <c r="BT68" s="32">
        <v>67.600063514000098</v>
      </c>
      <c r="BV68" s="37">
        <f>14001858/1000000</f>
        <v>14.001858</v>
      </c>
      <c r="BW68" s="1">
        <v>1000</v>
      </c>
      <c r="BX68" s="1">
        <v>750</v>
      </c>
      <c r="BY68" s="21">
        <v>9.7112161759713302</v>
      </c>
      <c r="BZ68" s="21">
        <v>39.058247537199399</v>
      </c>
      <c r="CA68" s="45">
        <v>9.4214743399374407E-6</v>
      </c>
      <c r="CB68" s="45">
        <v>5.8852870074757998E-3</v>
      </c>
      <c r="CC68" s="45">
        <v>1.33792742513905E-4</v>
      </c>
      <c r="CD68" s="45">
        <v>3.7731813542431198E-4</v>
      </c>
      <c r="CE68" s="45">
        <v>3.5121733426942298E-4</v>
      </c>
      <c r="CF68" s="45">
        <v>3.31517815610552E-4</v>
      </c>
      <c r="CG68" s="23"/>
      <c r="CH68" s="21">
        <v>27.946964263916001</v>
      </c>
      <c r="CI68" s="21"/>
      <c r="CJ68" s="38"/>
      <c r="CL68" s="88">
        <v>22.968679604811101</v>
      </c>
      <c r="CM68" s="1">
        <v>-213.75565291560599</v>
      </c>
      <c r="CN68" s="20">
        <v>20.985762307518399</v>
      </c>
    </row>
    <row r="69" spans="2:92" s="1" customFormat="1" x14ac:dyDescent="0.25">
      <c r="B69" s="2" t="s">
        <v>264</v>
      </c>
      <c r="C69" s="1" t="s">
        <v>233</v>
      </c>
      <c r="D69" s="14"/>
      <c r="E69" s="19">
        <v>30</v>
      </c>
      <c r="F69" s="1">
        <v>71</v>
      </c>
      <c r="G69" s="21">
        <v>7.3499999999999881</v>
      </c>
      <c r="H69" s="21">
        <v>1.5</v>
      </c>
      <c r="I69" s="21">
        <v>11.193</v>
      </c>
      <c r="J69" s="21">
        <v>10.050000000000001</v>
      </c>
      <c r="K69" s="21">
        <f t="shared" si="16"/>
        <v>1.5255873768995551</v>
      </c>
      <c r="L69" s="1">
        <v>8.1750000000000007</v>
      </c>
      <c r="M69" s="14">
        <v>11</v>
      </c>
      <c r="N69" s="24">
        <v>108.11345855446299</v>
      </c>
      <c r="O69" s="23">
        <v>-14.9169147753956</v>
      </c>
      <c r="P69" s="23">
        <v>219.48298435076899</v>
      </c>
      <c r="Q69" s="23">
        <f t="shared" si="17"/>
        <v>60.991362137446906</v>
      </c>
      <c r="R69" s="23">
        <f t="shared" si="18"/>
        <v>158.4916222133221</v>
      </c>
      <c r="S69" s="25">
        <f t="shared" si="19"/>
        <v>2.0301171314411586</v>
      </c>
      <c r="T69" s="21">
        <v>-0.63374419312892805</v>
      </c>
      <c r="U69" s="21">
        <v>-33.636837081571798</v>
      </c>
      <c r="V69" s="21">
        <v>-29.966757161476199</v>
      </c>
      <c r="W69" s="21">
        <f t="shared" si="12"/>
        <v>51.469804170503785</v>
      </c>
      <c r="X69" s="32">
        <f t="shared" si="21"/>
        <v>27.788651734374511</v>
      </c>
      <c r="Y69" s="35">
        <f t="shared" si="11"/>
        <v>1.4587749509794297</v>
      </c>
      <c r="Z69" s="25">
        <f t="shared" si="15"/>
        <v>-0.20127393861218551</v>
      </c>
      <c r="AA69" s="25">
        <f t="shared" si="8"/>
        <v>2.9614840189005762</v>
      </c>
      <c r="AB69" s="25">
        <f t="shared" si="13"/>
        <v>-8.5511107185552767E-3</v>
      </c>
      <c r="AC69" s="25">
        <f t="shared" si="10"/>
        <v>-0.45386185976146792</v>
      </c>
      <c r="AD69" s="34">
        <f t="shared" si="14"/>
        <v>-0.40434146954260342</v>
      </c>
      <c r="AE69" s="2"/>
      <c r="AF69" s="24">
        <v>4.4984559235111998</v>
      </c>
      <c r="AG69" s="23">
        <v>35.234018041347703</v>
      </c>
      <c r="AH69" s="23">
        <v>4.1790208145003298</v>
      </c>
      <c r="AI69" s="23">
        <v>29.515854768107499</v>
      </c>
      <c r="AJ69" s="23">
        <v>7.4610717750789304</v>
      </c>
      <c r="AK69" s="23">
        <v>41.218847399318001</v>
      </c>
      <c r="AL69" s="23">
        <v>43.801014589451</v>
      </c>
      <c r="AM69" s="23">
        <v>75.445303612419096</v>
      </c>
      <c r="AN69" s="23">
        <v>7.3045192772988203</v>
      </c>
      <c r="AO69" s="23">
        <v>11.734245194218399</v>
      </c>
      <c r="AP69" s="23">
        <v>7.0193277651938901</v>
      </c>
      <c r="AQ69" s="23">
        <v>12.7071890643064</v>
      </c>
      <c r="AR69" s="23">
        <v>2.4726919367287401</v>
      </c>
      <c r="AS69" s="23">
        <v>17.413165354562299</v>
      </c>
      <c r="AT69" s="23">
        <v>13.3678282496517</v>
      </c>
      <c r="AU69" s="23">
        <v>8.7874621660811805</v>
      </c>
      <c r="AV69" s="23">
        <v>2.8584633308360399</v>
      </c>
      <c r="AW69" s="23">
        <v>-1.2467452613236001</v>
      </c>
      <c r="AX69" s="23">
        <v>3.9971238293581899</v>
      </c>
      <c r="AY69" s="23">
        <v>-1.5218953433078599</v>
      </c>
      <c r="AZ69" s="23">
        <v>4.0754118579369303</v>
      </c>
      <c r="BA69" s="23">
        <v>-2.0917874020657998</v>
      </c>
      <c r="BB69" s="23">
        <v>2.0411601043182102</v>
      </c>
      <c r="BC69" s="23">
        <v>-0.70484449132796601</v>
      </c>
      <c r="BD69" s="23">
        <v>1.5555673569392701</v>
      </c>
      <c r="BE69" s="23">
        <v>-0.24579886351249</v>
      </c>
      <c r="BF69" s="23">
        <v>2.0372967020787498</v>
      </c>
      <c r="BG69" s="23">
        <v>-0.46293111930804298</v>
      </c>
      <c r="BH69" s="23">
        <v>0.36099764340469398</v>
      </c>
      <c r="BI69" s="23">
        <v>1.5702597355223301E-2</v>
      </c>
      <c r="BJ69" s="23">
        <v>0.27043374844224999</v>
      </c>
      <c r="BK69" s="36">
        <v>-0.206500787552891</v>
      </c>
      <c r="BL69" s="2"/>
      <c r="BM69" s="35">
        <v>0.12297738999557201</v>
      </c>
      <c r="BN69" s="21">
        <v>51.774255972345699</v>
      </c>
      <c r="BO69" s="25">
        <v>0.121890185409204</v>
      </c>
      <c r="BP69" s="21">
        <v>48.923372977037602</v>
      </c>
      <c r="BQ69" s="25">
        <v>0.122969548682946</v>
      </c>
      <c r="BR69" s="21">
        <v>76.208926113262095</v>
      </c>
      <c r="BS69" s="25">
        <v>0.121888932999397</v>
      </c>
      <c r="BT69" s="32">
        <v>82.169742310778702</v>
      </c>
      <c r="BV69" s="37">
        <f>14693818/1000000</f>
        <v>14.693818</v>
      </c>
      <c r="BW69" s="1">
        <v>1000</v>
      </c>
      <c r="BX69" s="1">
        <v>750</v>
      </c>
      <c r="BY69" s="21">
        <v>10.2376360549442</v>
      </c>
      <c r="BZ69" s="21">
        <v>40.798184223994603</v>
      </c>
      <c r="CA69" s="45">
        <v>9.1584361870610198E-6</v>
      </c>
      <c r="CB69" s="45">
        <v>6.2243004463509903E-3</v>
      </c>
      <c r="CC69" s="45">
        <v>1.37593483801019E-4</v>
      </c>
      <c r="CD69" s="45">
        <v>3.5973025874281802E-4</v>
      </c>
      <c r="CE69" s="45">
        <v>3.83059560380286E-4</v>
      </c>
      <c r="CF69" s="45">
        <v>3.4713296016470002E-4</v>
      </c>
      <c r="CG69" s="23"/>
      <c r="CH69" s="21">
        <v>30.106117248535099</v>
      </c>
      <c r="CI69" s="21"/>
      <c r="CJ69" s="38"/>
      <c r="CL69" s="88">
        <v>3.8711640690405398</v>
      </c>
      <c r="CM69" s="1">
        <v>-244.07709820851599</v>
      </c>
      <c r="CN69" s="20">
        <v>-17.883459516814799</v>
      </c>
    </row>
    <row r="70" spans="2:92" s="1" customFormat="1" x14ac:dyDescent="0.25">
      <c r="B70" s="2" t="s">
        <v>265</v>
      </c>
      <c r="C70" s="1" t="s">
        <v>234</v>
      </c>
      <c r="D70" s="14"/>
      <c r="E70" s="19">
        <v>55.6</v>
      </c>
      <c r="F70" s="1">
        <v>32.6</v>
      </c>
      <c r="G70" s="21">
        <v>9.1499999999999915</v>
      </c>
      <c r="H70" s="21">
        <v>1.6</v>
      </c>
      <c r="I70" s="21">
        <v>8.1890000000000001</v>
      </c>
      <c r="J70" s="21">
        <v>7.5609999999999999</v>
      </c>
      <c r="K70" s="21">
        <f t="shared" si="16"/>
        <v>-0.85574800285508779</v>
      </c>
      <c r="L70" s="1">
        <v>11.087</v>
      </c>
      <c r="M70" s="14">
        <v>11</v>
      </c>
      <c r="N70" s="24">
        <v>101.51786344764599</v>
      </c>
      <c r="O70" s="23">
        <v>-30.889771978139599</v>
      </c>
      <c r="P70" s="23">
        <v>208.399676064696</v>
      </c>
      <c r="Q70" s="23">
        <f t="shared" ref="Q70:Q124" si="22">IF(OR(ISERROR($P70*$X70/100),$X70=0),"",$P70*$X70/100)</f>
        <v>43.214566497492775</v>
      </c>
      <c r="R70" s="23">
        <f t="shared" ref="R70:R124" si="23">IF(OR(ISERROR($P70*(1-($X70/100))),$X70=0),"",$P70*(1-($X70/100)))</f>
        <v>165.18510956720323</v>
      </c>
      <c r="S70" s="25">
        <f t="shared" si="19"/>
        <v>2.0528374907355125</v>
      </c>
      <c r="T70" s="21">
        <v>7.1820047085446799</v>
      </c>
      <c r="U70" s="21">
        <v>-54.914600372857599</v>
      </c>
      <c r="V70" s="21">
        <v>-21.206751141916001</v>
      </c>
      <c r="W70" s="21">
        <f t="shared" si="12"/>
        <v>56.602183905193627</v>
      </c>
      <c r="X70" s="32">
        <f t="shared" si="21"/>
        <v>20.736388517262938</v>
      </c>
      <c r="Y70" s="35">
        <f t="shared" si="11"/>
        <v>1.3697805828658591</v>
      </c>
      <c r="Z70" s="25">
        <f t="shared" si="15"/>
        <v>-0.41679570893087664</v>
      </c>
      <c r="AA70" s="25">
        <f t="shared" si="8"/>
        <v>2.8119369345885779</v>
      </c>
      <c r="AB70" s="25">
        <f t="shared" si="13"/>
        <v>9.6906793166398095E-2</v>
      </c>
      <c r="AC70" s="25">
        <f t="shared" si="10"/>
        <v>-0.74096273061706985</v>
      </c>
      <c r="AD70" s="34">
        <f t="shared" si="14"/>
        <v>-0.28614270388822394</v>
      </c>
      <c r="AE70" s="2"/>
      <c r="AF70" s="24">
        <v>4.2992751182700601</v>
      </c>
      <c r="AG70" s="23">
        <v>31.138628150299201</v>
      </c>
      <c r="AH70" s="23">
        <v>3.3982092834217901</v>
      </c>
      <c r="AI70" s="23">
        <v>22.072210190517101</v>
      </c>
      <c r="AJ70" s="23">
        <v>5.81572641299719</v>
      </c>
      <c r="AK70" s="23">
        <v>36.373090824233898</v>
      </c>
      <c r="AL70" s="23">
        <v>38.8467234368646</v>
      </c>
      <c r="AM70" s="23">
        <v>65.580845755888305</v>
      </c>
      <c r="AN70" s="23">
        <v>6.85930400291711</v>
      </c>
      <c r="AO70" s="23">
        <v>11.8780532941611</v>
      </c>
      <c r="AP70" s="23">
        <v>7.3493627353903701</v>
      </c>
      <c r="AQ70" s="23">
        <v>14.0947924539103</v>
      </c>
      <c r="AR70" s="23">
        <v>3.11194708036617</v>
      </c>
      <c r="AS70" s="23">
        <v>36.066168904364297</v>
      </c>
      <c r="AT70" s="23">
        <v>12.9158306561829</v>
      </c>
      <c r="AU70" s="23">
        <v>4.6979889825279999</v>
      </c>
      <c r="AV70" s="23">
        <v>2.8581025945616099</v>
      </c>
      <c r="AW70" s="23">
        <v>-1.15078049467194</v>
      </c>
      <c r="AX70" s="23">
        <v>5.2101213312535597</v>
      </c>
      <c r="AY70" s="23">
        <v>-1.8290594269338201</v>
      </c>
      <c r="AZ70" s="23">
        <v>4.1955296464398799</v>
      </c>
      <c r="BA70" s="23">
        <v>-1.9677403891415699</v>
      </c>
      <c r="BB70" s="23">
        <v>1.7606339720927999</v>
      </c>
      <c r="BC70" s="23">
        <v>-1.01467411652998</v>
      </c>
      <c r="BD70" s="23">
        <v>1.58770751817338</v>
      </c>
      <c r="BE70" s="23">
        <v>-0.287837932543344</v>
      </c>
      <c r="BF70" s="23">
        <v>1.8852425852738599</v>
      </c>
      <c r="BG70" s="23">
        <v>-0.28311719551412901</v>
      </c>
      <c r="BH70" s="23">
        <v>0.34830074794879701</v>
      </c>
      <c r="BI70" s="23">
        <v>-0.105028538105622</v>
      </c>
      <c r="BJ70" s="23">
        <v>0.22704800790437199</v>
      </c>
      <c r="BK70" s="36">
        <v>-0.20699667912863601</v>
      </c>
      <c r="BL70" s="2"/>
      <c r="BM70" s="35">
        <v>0.123164843601008</v>
      </c>
      <c r="BN70" s="21">
        <v>55.894667693179301</v>
      </c>
      <c r="BO70" s="25">
        <v>0.123960322660153</v>
      </c>
      <c r="BP70" s="21">
        <v>49.581184664660199</v>
      </c>
      <c r="BQ70" s="25">
        <v>0.12313727906775999</v>
      </c>
      <c r="BR70" s="21">
        <v>71.675366959969693</v>
      </c>
      <c r="BS70" s="25">
        <v>0.123968242112449</v>
      </c>
      <c r="BT70" s="32">
        <v>73.7975689389976</v>
      </c>
      <c r="BV70" s="37">
        <f>14716624/1000000</f>
        <v>14.716623999999999</v>
      </c>
      <c r="BW70" s="1">
        <v>1000</v>
      </c>
      <c r="BX70" s="1">
        <v>750</v>
      </c>
      <c r="BY70" s="21">
        <v>9.4740856099711408</v>
      </c>
      <c r="BZ70" s="21">
        <v>39.280221787190001</v>
      </c>
      <c r="CA70" s="45">
        <v>8.7758225332424702E-6</v>
      </c>
      <c r="CB70" s="45">
        <v>5.7774211912218496E-3</v>
      </c>
      <c r="CC70" s="45">
        <v>1.12086744533811E-4</v>
      </c>
      <c r="CD70" s="45">
        <v>3.0685955473510598E-4</v>
      </c>
      <c r="CE70" s="45">
        <v>2.9547027839137299E-4</v>
      </c>
      <c r="CF70" s="45">
        <v>3.1393053727635798E-4</v>
      </c>
      <c r="CG70" s="23"/>
      <c r="CH70" s="21">
        <v>30.1023139953613</v>
      </c>
      <c r="CI70" s="21"/>
      <c r="CJ70" s="38"/>
      <c r="CL70" s="88">
        <v>16.510715845942801</v>
      </c>
      <c r="CM70" s="1">
        <v>-254.385068733493</v>
      </c>
      <c r="CN70" s="20">
        <v>3.81519975125615</v>
      </c>
    </row>
    <row r="71" spans="2:92" s="1" customFormat="1" x14ac:dyDescent="0.25">
      <c r="B71" s="2" t="s">
        <v>262</v>
      </c>
      <c r="C71" s="1" t="s">
        <v>235</v>
      </c>
      <c r="D71" s="14"/>
      <c r="E71" s="19">
        <v>29.2</v>
      </c>
      <c r="F71" s="1">
        <v>24.2</v>
      </c>
      <c r="G71" s="21">
        <v>3.149999999999995</v>
      </c>
      <c r="H71" s="21">
        <v>0.98</v>
      </c>
      <c r="I71" s="21">
        <v>5.4</v>
      </c>
      <c r="J71" s="21">
        <v>4.9930000000000003</v>
      </c>
      <c r="K71" s="21">
        <f t="shared" si="16"/>
        <v>-0.18602558498889066</v>
      </c>
      <c r="L71" s="1">
        <v>17.11</v>
      </c>
      <c r="M71" s="14">
        <v>11</v>
      </c>
      <c r="N71" s="24">
        <v>108.458455247527</v>
      </c>
      <c r="O71" s="23">
        <v>-5.1668454406723896</v>
      </c>
      <c r="P71" s="23">
        <v>220.66272825574001</v>
      </c>
      <c r="Q71" s="23">
        <f t="shared" si="22"/>
        <v>61.262416058697788</v>
      </c>
      <c r="R71" s="23">
        <f t="shared" si="23"/>
        <v>159.40031219704221</v>
      </c>
      <c r="S71" s="25">
        <f t="shared" si="19"/>
        <v>2.0345368902049841</v>
      </c>
      <c r="T71" s="21">
        <v>2.9977700598907502</v>
      </c>
      <c r="U71" s="21">
        <v>-33.976390902412</v>
      </c>
      <c r="V71" s="21">
        <v>-14.4025229419395</v>
      </c>
      <c r="W71" s="21">
        <f t="shared" si="12"/>
        <v>51.721389251296316</v>
      </c>
      <c r="X71" s="32">
        <f t="shared" si="21"/>
        <v>27.76291970236899</v>
      </c>
      <c r="Y71" s="35">
        <f t="shared" si="11"/>
        <v>1.4634299915335063</v>
      </c>
      <c r="Z71" s="25">
        <f t="shared" si="15"/>
        <v>-6.971624814535185E-2</v>
      </c>
      <c r="AA71" s="25">
        <f t="shared" si="8"/>
        <v>2.9774023040072857</v>
      </c>
      <c r="AB71" s="25">
        <f t="shared" si="13"/>
        <v>4.0448912934940122E-2</v>
      </c>
      <c r="AC71" s="25">
        <f t="shared" si="10"/>
        <v>-0.45844345963787475</v>
      </c>
      <c r="AD71" s="34">
        <f t="shared" si="14"/>
        <v>-0.19433324934308649</v>
      </c>
      <c r="AE71" s="2"/>
      <c r="AF71" s="24">
        <v>4.8265151139784797</v>
      </c>
      <c r="AG71" s="23">
        <v>27.234180311848601</v>
      </c>
      <c r="AH71" s="23">
        <v>3.2961401371283299</v>
      </c>
      <c r="AI71" s="23">
        <v>21.066110638022199</v>
      </c>
      <c r="AJ71" s="23">
        <v>7.0733938964926404</v>
      </c>
      <c r="AK71" s="23">
        <v>49.7306424951474</v>
      </c>
      <c r="AL71" s="23">
        <v>41.954383315217903</v>
      </c>
      <c r="AM71" s="23">
        <v>75.863697938378493</v>
      </c>
      <c r="AN71" s="23">
        <v>7.1991093565196804</v>
      </c>
      <c r="AO71" s="23">
        <v>12.887250373769801</v>
      </c>
      <c r="AP71" s="23">
        <v>7.4119860745873298</v>
      </c>
      <c r="AQ71" s="23">
        <v>12.4599403669196</v>
      </c>
      <c r="AR71" s="23">
        <v>2.57165916532318</v>
      </c>
      <c r="AS71" s="23">
        <v>29.213099112531999</v>
      </c>
      <c r="AT71" s="23">
        <v>14.0172361812505</v>
      </c>
      <c r="AU71" s="23">
        <v>5.9653055502891101</v>
      </c>
      <c r="AV71" s="23">
        <v>3.1363683498781998</v>
      </c>
      <c r="AW71" s="23">
        <v>-1.52939420704989</v>
      </c>
      <c r="AX71" s="23">
        <v>4.9154200669089798</v>
      </c>
      <c r="AY71" s="23">
        <v>-2.4968632691025099</v>
      </c>
      <c r="AZ71" s="23">
        <v>2.8511331008687399</v>
      </c>
      <c r="BA71" s="23">
        <v>-1.7573707967478001</v>
      </c>
      <c r="BB71" s="23">
        <v>2.7458723066851101</v>
      </c>
      <c r="BC71" s="23">
        <v>-0.95739252778637995</v>
      </c>
      <c r="BD71" s="23">
        <v>1.6400988852701299</v>
      </c>
      <c r="BE71" s="23">
        <v>-0.27675819350054198</v>
      </c>
      <c r="BF71" s="23">
        <v>1.8594614533124401</v>
      </c>
      <c r="BG71" s="23">
        <v>6.17100847800061E-3</v>
      </c>
      <c r="BH71" s="23">
        <v>0.46110185893713401</v>
      </c>
      <c r="BI71" s="23">
        <v>-0.17998462781890601</v>
      </c>
      <c r="BJ71" s="23">
        <v>0.30390744788190499</v>
      </c>
      <c r="BK71" s="36">
        <v>-3.2900648152121403E-2</v>
      </c>
      <c r="BL71" s="2"/>
      <c r="BM71" s="35">
        <v>0.12513728924788101</v>
      </c>
      <c r="BN71" s="21">
        <v>46.701181591376901</v>
      </c>
      <c r="BO71" s="25">
        <v>0.12501976241307999</v>
      </c>
      <c r="BP71" s="21">
        <v>59.736843302544401</v>
      </c>
      <c r="BQ71" s="25">
        <v>0.12520767531438901</v>
      </c>
      <c r="BR71" s="21">
        <v>67.929344302100802</v>
      </c>
      <c r="BS71" s="25">
        <v>0.12504939487747299</v>
      </c>
      <c r="BT71" s="32">
        <v>68.912310340419594</v>
      </c>
      <c r="BV71" s="37">
        <f>14124304/1000000</f>
        <v>14.124304</v>
      </c>
      <c r="BW71" s="1">
        <v>1000</v>
      </c>
      <c r="BX71" s="1">
        <v>750</v>
      </c>
      <c r="BY71" s="21">
        <v>10.395026408581099</v>
      </c>
      <c r="BZ71" s="21">
        <v>46.1050454376023</v>
      </c>
      <c r="CA71" s="45">
        <v>1.1714277182827301E-5</v>
      </c>
      <c r="CB71" s="45">
        <v>6.7434832095922201E-3</v>
      </c>
      <c r="CC71" s="45">
        <v>1.5736576824961E-4</v>
      </c>
      <c r="CD71" s="45">
        <v>4.611485585072E-4</v>
      </c>
      <c r="CE71" s="45">
        <v>4.64392025360699E-4</v>
      </c>
      <c r="CF71" s="45">
        <v>4.1485974783151802E-4</v>
      </c>
      <c r="CG71" s="23"/>
      <c r="CH71" s="21">
        <v>33.095767974853501</v>
      </c>
      <c r="CI71" s="21"/>
      <c r="CJ71" s="38"/>
      <c r="CL71" s="88">
        <v>4.5581573829737998</v>
      </c>
      <c r="CM71" s="1">
        <v>-245.476480783445</v>
      </c>
      <c r="CN71" s="20">
        <v>-10.2171714611772</v>
      </c>
    </row>
    <row r="72" spans="2:92" s="1" customFormat="1" x14ac:dyDescent="0.25">
      <c r="B72" s="2" t="s">
        <v>266</v>
      </c>
      <c r="C72" s="18" t="s">
        <v>236</v>
      </c>
      <c r="D72" s="14"/>
      <c r="E72" s="19">
        <v>24.4</v>
      </c>
      <c r="F72" s="18">
        <v>50.6</v>
      </c>
      <c r="G72" s="22">
        <v>10.649999999999995</v>
      </c>
      <c r="H72" s="21">
        <v>1.34</v>
      </c>
      <c r="I72" s="21">
        <v>12.872999999999999</v>
      </c>
      <c r="J72" s="21">
        <v>11.381</v>
      </c>
      <c r="K72" s="21">
        <f t="shared" ref="K72:K124" si="24">IF(OR(ISBLANK($E72),ISBLANK($F72)),"",DEGREES(ASIN(($F72-$E72)/1540)))</f>
        <v>0.97481938217970543</v>
      </c>
      <c r="L72" s="1">
        <v>7.1369999999999996</v>
      </c>
      <c r="M72" s="14">
        <v>11</v>
      </c>
      <c r="N72" s="24">
        <v>101.7764750197</v>
      </c>
      <c r="O72" s="23">
        <v>-30.103468939171702</v>
      </c>
      <c r="P72" s="23">
        <v>197.69521172638099</v>
      </c>
      <c r="Q72" s="23">
        <f t="shared" si="22"/>
        <v>54.683629951459572</v>
      </c>
      <c r="R72" s="23">
        <f t="shared" si="23"/>
        <v>143.01158177492141</v>
      </c>
      <c r="S72" s="25">
        <f t="shared" ref="S72:S124" si="25">IF(OR(ISERROR($P72/$N72),$P72=0),"",$P72/$N72)</f>
        <v>1.9424450658967587</v>
      </c>
      <c r="T72" s="21">
        <v>2.12085739931103</v>
      </c>
      <c r="U72" s="21">
        <v>-29.3603111705918</v>
      </c>
      <c r="V72" s="21">
        <v>-36.100254600654203</v>
      </c>
      <c r="W72" s="21">
        <f t="shared" si="12"/>
        <v>54.726174583352602</v>
      </c>
      <c r="X72" s="32">
        <f t="shared" si="21"/>
        <v>27.660573806483569</v>
      </c>
      <c r="Y72" s="35">
        <f t="shared" si="11"/>
        <v>1.3732700289384381</v>
      </c>
      <c r="Z72" s="25">
        <f t="shared" si="15"/>
        <v>-0.40618612162822326</v>
      </c>
      <c r="AA72" s="25">
        <f t="shared" ref="AA72:AA124" si="26">IF(OR(ISERROR($P72/$M72),$P72=0),"",($P72*2)/(1.225*($M72^2)))</f>
        <v>2.6675015918553679</v>
      </c>
      <c r="AB72" s="25">
        <f t="shared" si="13"/>
        <v>2.8616729962031098E-2</v>
      </c>
      <c r="AC72" s="25">
        <f t="shared" ref="AC72:AC124" si="27">IF(OR(ISERROR($U72/$M72),$U72=0),"",($U72*2)/(1.225*($M72^2)))</f>
        <v>-0.39615869348074612</v>
      </c>
      <c r="AD72" s="34">
        <f t="shared" si="14"/>
        <v>-0.48710075359290533</v>
      </c>
      <c r="AE72" s="2"/>
      <c r="AF72" s="24">
        <v>4.3902329538270397</v>
      </c>
      <c r="AG72" s="23">
        <v>32.702892915443499</v>
      </c>
      <c r="AH72" s="23">
        <v>3.0872413200170499</v>
      </c>
      <c r="AI72" s="23">
        <v>20.8793597959206</v>
      </c>
      <c r="AJ72" s="23">
        <v>7.8660829426899301</v>
      </c>
      <c r="AK72" s="23">
        <v>43.085576251608202</v>
      </c>
      <c r="AL72" s="23">
        <v>40.151098398679999</v>
      </c>
      <c r="AM72" s="23">
        <v>67.351826169338693</v>
      </c>
      <c r="AN72" s="23">
        <v>6.6295422156411901</v>
      </c>
      <c r="AO72" s="23">
        <v>10.838228156696401</v>
      </c>
      <c r="AP72" s="23">
        <v>7.3190067681136997</v>
      </c>
      <c r="AQ72" s="23">
        <v>13.279901030264099</v>
      </c>
      <c r="AR72" s="23">
        <v>2.19172817636262</v>
      </c>
      <c r="AS72" s="23">
        <v>18.4869709706132</v>
      </c>
      <c r="AT72" s="23">
        <v>12.7741236672193</v>
      </c>
      <c r="AU72" s="23">
        <v>2.9423064615824801</v>
      </c>
      <c r="AV72" s="23">
        <v>2.7178412742620002</v>
      </c>
      <c r="AW72" s="23">
        <v>-0.95637946702594501</v>
      </c>
      <c r="AX72" s="23">
        <v>3.8821226417861499</v>
      </c>
      <c r="AY72" s="23">
        <v>-2.1001899570379998</v>
      </c>
      <c r="AZ72" s="23">
        <v>4.0279392075574298</v>
      </c>
      <c r="BA72" s="23">
        <v>-1.66134899672351</v>
      </c>
      <c r="BB72" s="23">
        <v>2.29680572642493</v>
      </c>
      <c r="BC72" s="23">
        <v>-0.78356995506403204</v>
      </c>
      <c r="BD72" s="23">
        <v>1.48295815173595</v>
      </c>
      <c r="BE72" s="23">
        <v>-0.163901067841172</v>
      </c>
      <c r="BF72" s="23">
        <v>1.60482371036785</v>
      </c>
      <c r="BG72" s="23">
        <v>-0.41790328800602999</v>
      </c>
      <c r="BH72" s="23">
        <v>0.30828602401919297</v>
      </c>
      <c r="BI72" s="23">
        <v>6.5328595587332297E-2</v>
      </c>
      <c r="BJ72" s="23">
        <v>6.6876710333354503E-2</v>
      </c>
      <c r="BK72" s="36">
        <v>2.3255771160835902E-2</v>
      </c>
      <c r="BL72" s="2"/>
      <c r="BM72" s="35">
        <v>0.12371696192133</v>
      </c>
      <c r="BN72" s="21">
        <v>61.930947341594702</v>
      </c>
      <c r="BO72" s="25">
        <v>0.123014563657825</v>
      </c>
      <c r="BP72" s="21">
        <v>56.220119652957401</v>
      </c>
      <c r="BQ72" s="25">
        <v>0.12374037605984101</v>
      </c>
      <c r="BR72" s="21">
        <v>73.464915141905294</v>
      </c>
      <c r="BS72" s="25">
        <v>0.12296736136799701</v>
      </c>
      <c r="BT72" s="32">
        <v>77.398357099653396</v>
      </c>
      <c r="BV72" s="37">
        <f>14610165/1000000</f>
        <v>14.610165</v>
      </c>
      <c r="BW72" s="1">
        <v>1000</v>
      </c>
      <c r="BX72" s="1">
        <v>750</v>
      </c>
      <c r="BY72" s="21">
        <v>9.5448905366964407</v>
      </c>
      <c r="BZ72" s="21">
        <v>39.005537714421699</v>
      </c>
      <c r="CA72" s="45">
        <v>1.09029820964789E-5</v>
      </c>
      <c r="CB72" s="45">
        <v>6.5716427340926503E-3</v>
      </c>
      <c r="CC72" s="45">
        <v>1.5755393552064999E-4</v>
      </c>
      <c r="CD72" s="45">
        <v>4.2205433884842002E-4</v>
      </c>
      <c r="CE72" s="45">
        <v>4.72379051088254E-4</v>
      </c>
      <c r="CF72" s="45">
        <v>4.3946547087295499E-4</v>
      </c>
      <c r="CG72" s="23"/>
      <c r="CH72" s="21">
        <v>32.868038177490199</v>
      </c>
      <c r="CI72" s="21"/>
      <c r="CJ72" s="38"/>
      <c r="CL72" s="88">
        <v>11.2121050189408</v>
      </c>
      <c r="CM72" s="1">
        <v>-220.23783593337899</v>
      </c>
      <c r="CN72" s="20">
        <v>-11.715240621167499</v>
      </c>
    </row>
    <row r="73" spans="2:92" s="1" customFormat="1" x14ac:dyDescent="0.25">
      <c r="B73" s="2" t="s">
        <v>277</v>
      </c>
      <c r="C73" s="18" t="s">
        <v>268</v>
      </c>
      <c r="D73" s="14"/>
      <c r="E73" s="19">
        <v>36.4</v>
      </c>
      <c r="F73" s="18">
        <v>72.2</v>
      </c>
      <c r="G73" s="22">
        <v>6.1499999999999853</v>
      </c>
      <c r="H73" s="21">
        <v>0.82</v>
      </c>
      <c r="I73" s="21">
        <v>11.754</v>
      </c>
      <c r="J73" s="21">
        <v>10.499000000000001</v>
      </c>
      <c r="K73" s="21">
        <f t="shared" si="24"/>
        <v>1.3320608436377626</v>
      </c>
      <c r="L73" s="1">
        <v>7.7960000000000003</v>
      </c>
      <c r="M73" s="14">
        <v>11</v>
      </c>
      <c r="N73" s="24">
        <v>109.59910220756301</v>
      </c>
      <c r="O73" s="23">
        <v>-14.7236421018537</v>
      </c>
      <c r="P73" s="23">
        <v>238.370306169163</v>
      </c>
      <c r="Q73" s="23">
        <f t="shared" si="22"/>
        <v>91.882584161011707</v>
      </c>
      <c r="R73" s="23">
        <f t="shared" si="23"/>
        <v>146.48772200815131</v>
      </c>
      <c r="S73" s="25">
        <f t="shared" si="25"/>
        <v>2.174929368652383</v>
      </c>
      <c r="T73" s="21">
        <v>6.2255274406397003</v>
      </c>
      <c r="U73" s="21">
        <v>0.597319783399889</v>
      </c>
      <c r="V73" s="21">
        <v>-30.097878197515701</v>
      </c>
      <c r="W73" s="21">
        <f t="shared" si="12"/>
        <v>53.730913302817839</v>
      </c>
      <c r="X73" s="32">
        <f t="shared" si="21"/>
        <v>38.546153519560391</v>
      </c>
      <c r="Y73" s="35">
        <f t="shared" si="11"/>
        <v>1.4788207415424253</v>
      </c>
      <c r="Z73" s="25">
        <f t="shared" si="15"/>
        <v>-0.19866611033029108</v>
      </c>
      <c r="AA73" s="25">
        <f t="shared" si="26"/>
        <v>3.2163306617529157</v>
      </c>
      <c r="AB73" s="25">
        <f t="shared" si="13"/>
        <v>8.4001044906590647E-2</v>
      </c>
      <c r="AC73" s="25">
        <f t="shared" si="27"/>
        <v>8.0596361396510566E-3</v>
      </c>
      <c r="AD73" s="34">
        <f t="shared" si="14"/>
        <v>-0.40611068574823</v>
      </c>
      <c r="AE73" s="2"/>
      <c r="AF73" s="24">
        <v>4.4288549967817499</v>
      </c>
      <c r="AG73" s="23">
        <v>35.197680879543</v>
      </c>
      <c r="AH73" s="23">
        <v>4.15837617321964</v>
      </c>
      <c r="AI73" s="23">
        <v>29.673372115990301</v>
      </c>
      <c r="AJ73" s="23">
        <v>8.3082581129725099</v>
      </c>
      <c r="AK73" s="23">
        <v>61.0923414137959</v>
      </c>
      <c r="AL73" s="23">
        <v>42.263004738394102</v>
      </c>
      <c r="AM73" s="23">
        <v>71.827939295789704</v>
      </c>
      <c r="AN73" s="23">
        <v>7.1276367839144799</v>
      </c>
      <c r="AO73" s="23">
        <v>11.9156215456102</v>
      </c>
      <c r="AP73" s="23">
        <v>8.3360136384436299</v>
      </c>
      <c r="AQ73" s="23">
        <v>15.7300220408583</v>
      </c>
      <c r="AR73" s="23">
        <v>2.6259932969803499</v>
      </c>
      <c r="AS73" s="23">
        <v>18.2226341534151</v>
      </c>
      <c r="AT73" s="23">
        <v>13.633421453567999</v>
      </c>
      <c r="AU73" s="23">
        <v>9.8913043505109499</v>
      </c>
      <c r="AV73" s="23">
        <v>2.6942404936076798</v>
      </c>
      <c r="AW73" s="23">
        <v>-1.3714156530261099</v>
      </c>
      <c r="AX73" s="23">
        <v>4.3399269296422496</v>
      </c>
      <c r="AY73" s="23">
        <v>-2.66248327909934</v>
      </c>
      <c r="AZ73" s="23">
        <v>3.87535056824247</v>
      </c>
      <c r="BA73" s="23">
        <v>-2.3009184945586401</v>
      </c>
      <c r="BB73" s="23">
        <v>2.4946371141949402</v>
      </c>
      <c r="BC73" s="23">
        <v>-2.4631963326843</v>
      </c>
      <c r="BD73" s="23">
        <v>1.67657294126904</v>
      </c>
      <c r="BE73" s="23">
        <v>-7.4440229361311103E-2</v>
      </c>
      <c r="BF73" s="23">
        <v>1.8284160939516301</v>
      </c>
      <c r="BG73" s="23">
        <v>0.203131280697806</v>
      </c>
      <c r="BH73" s="23">
        <v>0.340679874851749</v>
      </c>
      <c r="BI73" s="23">
        <v>1.7372017403105899E-2</v>
      </c>
      <c r="BJ73" s="23">
        <v>0.27354579917229799</v>
      </c>
      <c r="BK73" s="36">
        <v>-0.113902731002699</v>
      </c>
      <c r="BL73" s="2"/>
      <c r="BM73" s="35">
        <v>0.12233336031503</v>
      </c>
      <c r="BN73" s="21">
        <v>51.874323382495596</v>
      </c>
      <c r="BO73" s="25">
        <v>0.124544059134</v>
      </c>
      <c r="BP73" s="21">
        <v>64.793091077997701</v>
      </c>
      <c r="BQ73" s="25">
        <v>0.122340117891988</v>
      </c>
      <c r="BR73" s="21">
        <v>75.900041648623798</v>
      </c>
      <c r="BS73" s="25">
        <v>0.124587078711473</v>
      </c>
      <c r="BT73" s="32">
        <v>70.520384266259896</v>
      </c>
      <c r="BV73" s="37">
        <f>14450381/1000000</f>
        <v>14.450381</v>
      </c>
      <c r="BW73" s="1">
        <v>1000</v>
      </c>
      <c r="BX73" s="1">
        <v>750</v>
      </c>
      <c r="BY73" s="21">
        <v>10.567202680000401</v>
      </c>
      <c r="BZ73" s="21">
        <v>46.714900376006902</v>
      </c>
      <c r="CA73" s="45">
        <v>1.14246875027829E-5</v>
      </c>
      <c r="CB73" s="45">
        <v>6.5277084099457199E-3</v>
      </c>
      <c r="CC73" s="45">
        <v>1.5414116583759301E-4</v>
      </c>
      <c r="CD73" s="45">
        <v>4.4010770501853099E-4</v>
      </c>
      <c r="CE73" s="45">
        <v>4.7304023440520698E-4</v>
      </c>
      <c r="CF73" s="45">
        <v>4.2871380864714702E-4</v>
      </c>
      <c r="CG73" s="23"/>
      <c r="CH73" s="21">
        <v>29.168960571288999</v>
      </c>
      <c r="CI73" s="21"/>
      <c r="CJ73" s="38"/>
      <c r="CL73" s="88">
        <v>10.6720673553995</v>
      </c>
      <c r="CM73" s="1">
        <v>-225.59109189255301</v>
      </c>
      <c r="CN73" s="20">
        <v>-18.171139149330099</v>
      </c>
    </row>
    <row r="74" spans="2:92" s="1" customFormat="1" x14ac:dyDescent="0.25">
      <c r="B74" s="2" t="s">
        <v>278</v>
      </c>
      <c r="C74" s="18" t="s">
        <v>269</v>
      </c>
      <c r="D74" s="14"/>
      <c r="E74" s="19">
        <v>38.799999999999997</v>
      </c>
      <c r="F74" s="18">
        <v>48.2</v>
      </c>
      <c r="G74" s="22">
        <v>11.849999999999996</v>
      </c>
      <c r="H74" s="21">
        <v>1.86</v>
      </c>
      <c r="I74" s="21">
        <v>8.4610000000000003</v>
      </c>
      <c r="J74" s="21">
        <v>7.7930000000000001</v>
      </c>
      <c r="K74" s="21">
        <f t="shared" si="24"/>
        <v>0.34972965704074582</v>
      </c>
      <c r="L74" s="1">
        <v>10.737</v>
      </c>
      <c r="M74" s="14">
        <v>11</v>
      </c>
      <c r="N74" s="24">
        <v>101.094537375111</v>
      </c>
      <c r="O74" s="23">
        <v>-39.8771852027932</v>
      </c>
      <c r="P74" s="23">
        <v>206.04897845016399</v>
      </c>
      <c r="Q74" s="23">
        <f t="shared" si="22"/>
        <v>62.875686045258135</v>
      </c>
      <c r="R74" s="23">
        <f t="shared" si="23"/>
        <v>143.17329240490585</v>
      </c>
      <c r="S74" s="25">
        <f t="shared" si="25"/>
        <v>2.0381811302585007</v>
      </c>
      <c r="T74" s="21">
        <v>6.9762325118722401</v>
      </c>
      <c r="U74" s="21">
        <v>-23.0484055125008</v>
      </c>
      <c r="V74" s="21">
        <v>-24.637136983206201</v>
      </c>
      <c r="W74" s="21">
        <f t="shared" si="12"/>
        <v>57.691999003575049</v>
      </c>
      <c r="X74" s="32">
        <f t="shared" si="21"/>
        <v>30.514922480174079</v>
      </c>
      <c r="Y74" s="35">
        <f t="shared" si="11"/>
        <v>1.3640686439549468</v>
      </c>
      <c r="Z74" s="25">
        <f t="shared" si="15"/>
        <v>-0.53806288011864656</v>
      </c>
      <c r="AA74" s="25">
        <f t="shared" si="26"/>
        <v>2.7802189704862736</v>
      </c>
      <c r="AB74" s="25">
        <f t="shared" si="13"/>
        <v>9.4130308812578709E-2</v>
      </c>
      <c r="AC74" s="25">
        <f t="shared" si="27"/>
        <v>-0.31099214724237878</v>
      </c>
      <c r="AD74" s="34">
        <f t="shared" si="14"/>
        <v>-0.33242890178048501</v>
      </c>
      <c r="AE74" s="2"/>
      <c r="AF74" s="24">
        <v>4.3068035239496902</v>
      </c>
      <c r="AG74" s="23">
        <v>35.530161387907803</v>
      </c>
      <c r="AH74" s="23">
        <v>3.3858327738588301</v>
      </c>
      <c r="AI74" s="23">
        <v>23.048513890246198</v>
      </c>
      <c r="AJ74" s="23">
        <v>7.2337406081067099</v>
      </c>
      <c r="AK74" s="23">
        <v>46.346506176805399</v>
      </c>
      <c r="AL74" s="23">
        <v>37.906352988396897</v>
      </c>
      <c r="AM74" s="23">
        <v>60.9619912712662</v>
      </c>
      <c r="AN74" s="23">
        <v>6.69562527288506</v>
      </c>
      <c r="AO74" s="23">
        <v>11.5042976106532</v>
      </c>
      <c r="AP74" s="23">
        <v>7.30012944374025</v>
      </c>
      <c r="AQ74" s="23">
        <v>14.143562785740899</v>
      </c>
      <c r="AR74" s="23">
        <v>2.6381286775201702</v>
      </c>
      <c r="AS74" s="23">
        <v>23.212274783145801</v>
      </c>
      <c r="AT74" s="23">
        <v>12.938936698093601</v>
      </c>
      <c r="AU74" s="23">
        <v>4.3634519784066796</v>
      </c>
      <c r="AV74" s="23">
        <v>2.8487647476631999</v>
      </c>
      <c r="AW74" s="23">
        <v>-1.1486597817706701</v>
      </c>
      <c r="AX74" s="23">
        <v>4.4628991015483601</v>
      </c>
      <c r="AY74" s="23">
        <v>-2.4283742584113401</v>
      </c>
      <c r="AZ74" s="23">
        <v>4.4528102543592301</v>
      </c>
      <c r="BA74" s="23">
        <v>-1.69207941602845</v>
      </c>
      <c r="BB74" s="23">
        <v>1.95815166473212</v>
      </c>
      <c r="BC74" s="23">
        <v>-0.82967166093261602</v>
      </c>
      <c r="BD74" s="23">
        <v>1.6398574021508201</v>
      </c>
      <c r="BE74" s="23">
        <v>-0.175607401011876</v>
      </c>
      <c r="BF74" s="23">
        <v>1.7274989574169699</v>
      </c>
      <c r="BG74" s="23">
        <v>-0.33879582052019203</v>
      </c>
      <c r="BH74" s="23">
        <v>0.36518887781437798</v>
      </c>
      <c r="BI74" s="23">
        <v>-0.19288252939035799</v>
      </c>
      <c r="BJ74" s="23">
        <v>0.19083338285805601</v>
      </c>
      <c r="BK74" s="36">
        <v>-5.3943421125607002E-2</v>
      </c>
      <c r="BL74" s="2"/>
      <c r="BM74" s="35">
        <v>0.12157772365342399</v>
      </c>
      <c r="BN74" s="21">
        <v>54.095708829803101</v>
      </c>
      <c r="BO74" s="25">
        <v>0.122190467160345</v>
      </c>
      <c r="BP74" s="21">
        <v>51.678160006958997</v>
      </c>
      <c r="BQ74" s="25">
        <v>0.121590433573093</v>
      </c>
      <c r="BR74" s="21">
        <v>77.366784611220098</v>
      </c>
      <c r="BS74" s="25">
        <v>0.122181383219329</v>
      </c>
      <c r="BT74" s="32">
        <v>75.906931372553601</v>
      </c>
      <c r="BV74" s="37">
        <f>14367852/1000000</f>
        <v>14.367851999999999</v>
      </c>
      <c r="BW74" s="1">
        <v>1000</v>
      </c>
      <c r="BX74" s="1">
        <v>750</v>
      </c>
      <c r="BY74" s="21">
        <v>10.760161762027501</v>
      </c>
      <c r="BZ74" s="21">
        <v>43.143291916397402</v>
      </c>
      <c r="CA74" s="45">
        <v>1.12008949388047E-5</v>
      </c>
      <c r="CB74" s="45">
        <v>6.1633256620898299E-3</v>
      </c>
      <c r="CC74" s="45">
        <v>1.5296674159161701E-4</v>
      </c>
      <c r="CD74" s="45">
        <v>4.2709761673757001E-4</v>
      </c>
      <c r="CE74" s="45">
        <v>3.9937248917678398E-4</v>
      </c>
      <c r="CF74" s="45">
        <v>4.2308625257864998E-4</v>
      </c>
      <c r="CG74" s="23"/>
      <c r="CH74" s="21">
        <v>28.4996833801269</v>
      </c>
      <c r="CI74" s="21"/>
      <c r="CJ74" s="38"/>
      <c r="CL74" s="88">
        <v>19.0191424431158</v>
      </c>
      <c r="CM74" s="1">
        <v>-220.48687030355501</v>
      </c>
      <c r="CN74" s="20">
        <v>7.6649781184643198</v>
      </c>
    </row>
    <row r="75" spans="2:92" s="1" customFormat="1" x14ac:dyDescent="0.25">
      <c r="B75" s="2" t="s">
        <v>279</v>
      </c>
      <c r="C75" s="18" t="s">
        <v>270</v>
      </c>
      <c r="D75" s="14"/>
      <c r="E75" s="19">
        <v>59.6</v>
      </c>
      <c r="F75" s="18">
        <v>56.6</v>
      </c>
      <c r="G75" s="22">
        <v>11.249999999999996</v>
      </c>
      <c r="H75" s="21">
        <v>0.94</v>
      </c>
      <c r="I75" s="21">
        <v>9.8160000000000007</v>
      </c>
      <c r="J75" s="21">
        <v>8.9269999999999996</v>
      </c>
      <c r="K75" s="21">
        <f t="shared" si="24"/>
        <v>-0.1116152254905796</v>
      </c>
      <c r="L75" s="1">
        <v>9.2889999999999997</v>
      </c>
      <c r="M75" s="14">
        <v>11</v>
      </c>
      <c r="N75" s="24">
        <v>100.067460947481</v>
      </c>
      <c r="O75" s="23">
        <v>-37.460178849920098</v>
      </c>
      <c r="P75" s="23">
        <v>200.63522889979501</v>
      </c>
      <c r="Q75" s="23">
        <f t="shared" si="22"/>
        <v>54.91103773298201</v>
      </c>
      <c r="R75" s="23">
        <f t="shared" si="23"/>
        <v>145.724191166813</v>
      </c>
      <c r="S75" s="25">
        <f t="shared" si="25"/>
        <v>2.0049996972052244</v>
      </c>
      <c r="T75" s="21">
        <v>5.5580049711501802</v>
      </c>
      <c r="U75" s="21">
        <v>-31.672320372762901</v>
      </c>
      <c r="V75" s="21">
        <v>-27.900441069862101</v>
      </c>
      <c r="W75" s="21">
        <f t="shared" si="12"/>
        <v>57.007318321056175</v>
      </c>
      <c r="X75" s="32">
        <f t="shared" si="21"/>
        <v>27.368592262731042</v>
      </c>
      <c r="Y75" s="35">
        <f t="shared" ref="Y75:Y124" si="28">IF(OR(ISERROR($N75/$M75),$N75=0),"",($N75*2)/(1.225*($M75^2)))</f>
        <v>1.3502103011972471</v>
      </c>
      <c r="Z75" s="25">
        <f t="shared" si="15"/>
        <v>-0.50545021217635477</v>
      </c>
      <c r="AA75" s="25">
        <f t="shared" si="26"/>
        <v>2.7071712450638552</v>
      </c>
      <c r="AB75" s="25">
        <f t="shared" si="13"/>
        <v>7.4994163888010515E-2</v>
      </c>
      <c r="AC75" s="25">
        <f t="shared" si="27"/>
        <v>-0.42735463481548858</v>
      </c>
      <c r="AD75" s="34">
        <f t="shared" si="14"/>
        <v>-0.37646066547292423</v>
      </c>
      <c r="AE75" s="2"/>
      <c r="AF75" s="24">
        <v>3.69148205161075</v>
      </c>
      <c r="AG75" s="23">
        <v>32.575056900787096</v>
      </c>
      <c r="AH75" s="23">
        <v>3.4213206769117401</v>
      </c>
      <c r="AI75" s="23">
        <v>24.431498664374999</v>
      </c>
      <c r="AJ75" s="23">
        <v>6.5133677688427998</v>
      </c>
      <c r="AK75" s="23">
        <v>40.818081906144599</v>
      </c>
      <c r="AL75" s="23">
        <v>37.606469906522598</v>
      </c>
      <c r="AM75" s="23">
        <v>60.457024869943503</v>
      </c>
      <c r="AN75" s="23">
        <v>6.6630762875168799</v>
      </c>
      <c r="AO75" s="23">
        <v>11.777183188767101</v>
      </c>
      <c r="AP75" s="23">
        <v>7.1188861346766696</v>
      </c>
      <c r="AQ75" s="23">
        <v>14.3303660164297</v>
      </c>
      <c r="AR75" s="23">
        <v>2.69142635530168</v>
      </c>
      <c r="AS75" s="23">
        <v>23.3940478417659</v>
      </c>
      <c r="AT75" s="23">
        <v>12.8878738276397</v>
      </c>
      <c r="AU75" s="23">
        <v>5.5940485474275903</v>
      </c>
      <c r="AV75" s="23">
        <v>2.7338088283275401</v>
      </c>
      <c r="AW75" s="23">
        <v>-1.11853321340596</v>
      </c>
      <c r="AX75" s="23">
        <v>4.9789606773804804</v>
      </c>
      <c r="AY75" s="23">
        <v>-1.77177165394133</v>
      </c>
      <c r="AZ75" s="23">
        <v>4.7669651317128503</v>
      </c>
      <c r="BA75" s="23">
        <v>-1.8881361443304201</v>
      </c>
      <c r="BB75" s="23">
        <v>1.9825476781159601</v>
      </c>
      <c r="BC75" s="23">
        <v>-1.24999578591465</v>
      </c>
      <c r="BD75" s="23">
        <v>1.53296934163544</v>
      </c>
      <c r="BE75" s="23">
        <v>-0.25286366956753298</v>
      </c>
      <c r="BF75" s="23">
        <v>1.93931425188861</v>
      </c>
      <c r="BG75" s="23">
        <v>-0.243768275764526</v>
      </c>
      <c r="BH75" s="23">
        <v>0.35328730117171597</v>
      </c>
      <c r="BI75" s="23">
        <v>-2.86528803607797E-2</v>
      </c>
      <c r="BJ75" s="23">
        <v>0.203691472444292</v>
      </c>
      <c r="BK75" s="36">
        <v>-0.139142789640642</v>
      </c>
      <c r="BL75" s="2"/>
      <c r="BM75" s="35">
        <v>0.123984455423574</v>
      </c>
      <c r="BN75" s="21">
        <v>63.171397364756103</v>
      </c>
      <c r="BO75" s="25">
        <v>0.124587964628789</v>
      </c>
      <c r="BP75" s="21">
        <v>48.398349155575701</v>
      </c>
      <c r="BQ75" s="25">
        <v>0.12402359644808</v>
      </c>
      <c r="BR75" s="21">
        <v>72.437668338115699</v>
      </c>
      <c r="BS75" s="25">
        <v>0.124585255628698</v>
      </c>
      <c r="BT75" s="32">
        <v>71.025548777419601</v>
      </c>
      <c r="BV75" s="37">
        <f>14390003/1000000</f>
        <v>14.390003</v>
      </c>
      <c r="BW75" s="1">
        <v>1000</v>
      </c>
      <c r="BX75" s="1">
        <v>750</v>
      </c>
      <c r="BY75" s="21">
        <v>9.7811713771683699</v>
      </c>
      <c r="BZ75" s="21">
        <v>39.676396154398098</v>
      </c>
      <c r="CA75" s="45">
        <v>8.9412147361607306E-6</v>
      </c>
      <c r="CB75" s="45">
        <v>5.95033644559696E-3</v>
      </c>
      <c r="CC75" s="45">
        <v>1.2303245589638501E-4</v>
      </c>
      <c r="CD75" s="45">
        <v>3.3474998041040002E-4</v>
      </c>
      <c r="CE75" s="45">
        <v>3.3326937437888599E-4</v>
      </c>
      <c r="CF75" s="45">
        <v>3.3590046332306202E-4</v>
      </c>
      <c r="CG75" s="23"/>
      <c r="CH75" s="21">
        <v>28.645584106445298</v>
      </c>
      <c r="CI75" s="21"/>
      <c r="CJ75" s="38"/>
      <c r="CL75" s="88">
        <v>16.870978983825999</v>
      </c>
      <c r="CM75" s="1">
        <v>-224.41525439689201</v>
      </c>
      <c r="CN75" s="20">
        <v>2.4438022057272</v>
      </c>
    </row>
    <row r="76" spans="2:92" s="1" customFormat="1" x14ac:dyDescent="0.25">
      <c r="B76" s="2" t="s">
        <v>280</v>
      </c>
      <c r="C76" s="18" t="s">
        <v>271</v>
      </c>
      <c r="D76" s="14"/>
      <c r="E76" s="19">
        <v>51.6</v>
      </c>
      <c r="F76" s="18">
        <v>23</v>
      </c>
      <c r="G76" s="22">
        <v>11.549999999999997</v>
      </c>
      <c r="H76" s="21">
        <v>0.38</v>
      </c>
      <c r="I76" s="21">
        <v>9.0020000000000007</v>
      </c>
      <c r="J76" s="21">
        <v>8.25</v>
      </c>
      <c r="K76" s="21">
        <f t="shared" si="24"/>
        <v>-1.0641256517777047</v>
      </c>
      <c r="L76" s="1">
        <v>10.108000000000001</v>
      </c>
      <c r="M76" s="14">
        <v>11</v>
      </c>
      <c r="N76" s="24">
        <v>95.587420481084806</v>
      </c>
      <c r="O76" s="23">
        <v>-40.938291062937097</v>
      </c>
      <c r="P76" s="23">
        <v>218.58767791669101</v>
      </c>
      <c r="Q76" s="23">
        <f t="shared" si="22"/>
        <v>52.54316438227999</v>
      </c>
      <c r="R76" s="23">
        <f t="shared" si="23"/>
        <v>166.04451353441101</v>
      </c>
      <c r="S76" s="25">
        <f t="shared" si="25"/>
        <v>2.2867828927337355</v>
      </c>
      <c r="T76" s="21">
        <v>2.7656167677534498</v>
      </c>
      <c r="U76" s="21">
        <v>-49.776387238068999</v>
      </c>
      <c r="V76" s="21">
        <v>-26.282483177963002</v>
      </c>
      <c r="W76" s="21">
        <f t="shared" si="12"/>
        <v>55.767701094038188</v>
      </c>
      <c r="X76" s="32">
        <f t="shared" si="21"/>
        <v>24.037569218474175</v>
      </c>
      <c r="Y76" s="35">
        <f t="shared" si="28"/>
        <v>1.2897611129173188</v>
      </c>
      <c r="Z76" s="25">
        <f t="shared" si="15"/>
        <v>-0.55238038202647444</v>
      </c>
      <c r="AA76" s="25">
        <f t="shared" si="26"/>
        <v>2.9494036487325483</v>
      </c>
      <c r="AB76" s="25">
        <f t="shared" si="13"/>
        <v>3.7316468446664856E-2</v>
      </c>
      <c r="AC76" s="25">
        <f t="shared" si="27"/>
        <v>-0.67163281818949561</v>
      </c>
      <c r="AD76" s="34">
        <f t="shared" si="14"/>
        <v>-0.35462955881886321</v>
      </c>
      <c r="AE76" s="2"/>
      <c r="AF76" s="24">
        <v>3.8860616204648899</v>
      </c>
      <c r="AG76" s="23">
        <v>38.609320638343497</v>
      </c>
      <c r="AH76" s="23">
        <v>3.4088183603035098</v>
      </c>
      <c r="AI76" s="23">
        <v>23.903847300416999</v>
      </c>
      <c r="AJ76" s="23">
        <v>5.6926608513065204</v>
      </c>
      <c r="AK76" s="23">
        <v>36.356938285173101</v>
      </c>
      <c r="AL76" s="23">
        <v>36.286723996515398</v>
      </c>
      <c r="AM76" s="23">
        <v>59.592242859933599</v>
      </c>
      <c r="AN76" s="23">
        <v>6.4292036314962102</v>
      </c>
      <c r="AO76" s="23">
        <v>11.3014158091092</v>
      </c>
      <c r="AP76" s="23">
        <v>6.6835689993486698</v>
      </c>
      <c r="AQ76" s="23">
        <v>13.8251140470834</v>
      </c>
      <c r="AR76" s="23">
        <v>3.21594014169691</v>
      </c>
      <c r="AS76" s="23">
        <v>42.024045220353202</v>
      </c>
      <c r="AT76" s="23">
        <v>12.0794071967095</v>
      </c>
      <c r="AU76" s="23">
        <v>6.0209052925705002</v>
      </c>
      <c r="AV76" s="23">
        <v>2.4205732878407602</v>
      </c>
      <c r="AW76" s="23">
        <v>-1.2492300901907301</v>
      </c>
      <c r="AX76" s="23">
        <v>5.0934808811966796</v>
      </c>
      <c r="AY76" s="23">
        <v>-1.8814861636304701</v>
      </c>
      <c r="AZ76" s="23">
        <v>3.9429062396027201</v>
      </c>
      <c r="BA76" s="23">
        <v>-1.5870390106119401</v>
      </c>
      <c r="BB76" s="23">
        <v>1.8480214995009101</v>
      </c>
      <c r="BC76" s="23">
        <v>-0.80892538713698003</v>
      </c>
      <c r="BD76" s="23">
        <v>1.56737959108439</v>
      </c>
      <c r="BE76" s="23">
        <v>-0.33200515538193998</v>
      </c>
      <c r="BF76" s="23">
        <v>1.87447704050612</v>
      </c>
      <c r="BG76" s="23">
        <v>-0.36271656118370799</v>
      </c>
      <c r="BH76" s="23">
        <v>0.41191092170624599</v>
      </c>
      <c r="BI76" s="23">
        <v>-7.4838786762533305E-2</v>
      </c>
      <c r="BJ76" s="23">
        <v>0.19020517377401899</v>
      </c>
      <c r="BK76" s="36">
        <v>-0.11342387812580999</v>
      </c>
      <c r="BL76" s="2"/>
      <c r="BM76" s="35">
        <v>0.123471403555479</v>
      </c>
      <c r="BN76" s="21">
        <v>66.395737107943006</v>
      </c>
      <c r="BO76" s="25">
        <v>0.123108755246237</v>
      </c>
      <c r="BP76" s="21">
        <v>49.142448751043197</v>
      </c>
      <c r="BQ76" s="25">
        <v>0.123497156389652</v>
      </c>
      <c r="BR76" s="21">
        <v>74.179361630905504</v>
      </c>
      <c r="BS76" s="25">
        <v>0.12309091158829499</v>
      </c>
      <c r="BT76" s="32">
        <v>76.957474203816005</v>
      </c>
      <c r="BV76" s="37">
        <f>14780230/1000000</f>
        <v>14.78023</v>
      </c>
      <c r="BW76" s="1">
        <v>1000</v>
      </c>
      <c r="BX76" s="1">
        <v>750</v>
      </c>
      <c r="BY76" s="21">
        <v>12.6613688600552</v>
      </c>
      <c r="BZ76" s="21">
        <v>49.713060152800701</v>
      </c>
      <c r="CA76" s="45">
        <v>8.4395607538088198E-6</v>
      </c>
      <c r="CB76" s="45">
        <v>5.7817565668589104E-3</v>
      </c>
      <c r="CC76" s="45">
        <v>1.40315957747311E-4</v>
      </c>
      <c r="CD76" s="45">
        <v>3.4793341629956598E-4</v>
      </c>
      <c r="CE76" s="45">
        <v>3.34025269701767E-4</v>
      </c>
      <c r="CF76" s="45">
        <v>3.2438649328682601E-4</v>
      </c>
      <c r="CG76" s="23"/>
      <c r="CH76" s="21">
        <v>14.542320251464799</v>
      </c>
      <c r="CI76" s="21"/>
      <c r="CJ76" s="38"/>
      <c r="CL76" s="88">
        <v>15.1289806687604</v>
      </c>
      <c r="CM76" s="1">
        <v>-255.70855084299299</v>
      </c>
      <c r="CN76" s="20">
        <v>6.87917011465857</v>
      </c>
    </row>
    <row r="77" spans="2:92" s="1" customFormat="1" x14ac:dyDescent="0.25">
      <c r="B77" s="2" t="s">
        <v>281</v>
      </c>
      <c r="C77" s="18" t="s">
        <v>272</v>
      </c>
      <c r="D77" s="14"/>
      <c r="E77" s="19">
        <v>32.4</v>
      </c>
      <c r="F77" s="18">
        <v>74.599999999999994</v>
      </c>
      <c r="G77" s="22">
        <v>8.2499999999999893</v>
      </c>
      <c r="H77" s="21">
        <v>1.46</v>
      </c>
      <c r="I77" s="21">
        <v>1.8959999999999999</v>
      </c>
      <c r="J77" s="21">
        <v>1.859</v>
      </c>
      <c r="K77" s="21">
        <f t="shared" si="24"/>
        <v>1.5702497380595806</v>
      </c>
      <c r="L77" s="1">
        <v>46.972000000000001</v>
      </c>
      <c r="M77" s="14">
        <v>11</v>
      </c>
      <c r="N77" s="24">
        <v>104.64061430549</v>
      </c>
      <c r="O77" s="23">
        <v>-33.181691414410302</v>
      </c>
      <c r="P77" s="23">
        <v>217.950814434813</v>
      </c>
      <c r="Q77" s="23">
        <f t="shared" si="22"/>
        <v>68.992205202485081</v>
      </c>
      <c r="R77" s="23">
        <f t="shared" si="23"/>
        <v>148.95860923232792</v>
      </c>
      <c r="S77" s="25">
        <f t="shared" si="25"/>
        <v>2.0828510600914747</v>
      </c>
      <c r="T77" s="21">
        <v>4.9641086051493</v>
      </c>
      <c r="U77" s="21">
        <v>-21.245914972750899</v>
      </c>
      <c r="V77" s="21">
        <v>-6.1458869408888299</v>
      </c>
      <c r="W77" s="21">
        <f t="shared" si="12"/>
        <v>55.729495838759171</v>
      </c>
      <c r="X77" s="32">
        <f t="shared" si="21"/>
        <v>31.654942598583403</v>
      </c>
      <c r="Y77" s="35">
        <f t="shared" si="28"/>
        <v>1.4119158617708212</v>
      </c>
      <c r="Z77" s="25">
        <f t="shared" si="15"/>
        <v>-0.44772057904415985</v>
      </c>
      <c r="AA77" s="25">
        <f t="shared" si="26"/>
        <v>2.940810449449323</v>
      </c>
      <c r="AB77" s="25">
        <f t="shared" si="13"/>
        <v>6.6980719921056489E-2</v>
      </c>
      <c r="AC77" s="25">
        <f t="shared" si="27"/>
        <v>-0.28667114147749567</v>
      </c>
      <c r="AD77" s="34">
        <f t="shared" si="14"/>
        <v>-8.292645560315505E-2</v>
      </c>
      <c r="AE77" s="2"/>
      <c r="AF77" s="24">
        <v>4.3406626195036004</v>
      </c>
      <c r="AG77" s="23">
        <v>35.063587337155198</v>
      </c>
      <c r="AH77" s="23">
        <v>4.31113574382245</v>
      </c>
      <c r="AI77" s="23">
        <v>27.86417388888</v>
      </c>
      <c r="AJ77" s="23">
        <v>7.0788184718359801</v>
      </c>
      <c r="AK77" s="23">
        <v>46.128595955993703</v>
      </c>
      <c r="AL77" s="23">
        <v>41.9918083896506</v>
      </c>
      <c r="AM77" s="23">
        <v>68.291063070054904</v>
      </c>
      <c r="AN77" s="23">
        <v>7.58932333200993</v>
      </c>
      <c r="AO77" s="23">
        <v>12.343448050423101</v>
      </c>
      <c r="AP77" s="23">
        <v>6.7238725249051399</v>
      </c>
      <c r="AQ77" s="23">
        <v>11.5650764226609</v>
      </c>
      <c r="AR77" s="23">
        <v>2.6224676203181501</v>
      </c>
      <c r="AS77" s="23">
        <v>19.461433351860901</v>
      </c>
      <c r="AT77" s="23">
        <v>13.2496593742265</v>
      </c>
      <c r="AU77" s="23">
        <v>9.7452406965680307</v>
      </c>
      <c r="AV77" s="23">
        <v>2.7045470040657</v>
      </c>
      <c r="AW77" s="23">
        <v>-1.4731969764255901</v>
      </c>
      <c r="AX77" s="23">
        <v>3.2457068696382998</v>
      </c>
      <c r="AY77" s="23">
        <v>-1.8703597959327101</v>
      </c>
      <c r="AZ77" s="23">
        <v>3.7421252167374202</v>
      </c>
      <c r="BA77" s="23">
        <v>-2.1398851329403898</v>
      </c>
      <c r="BB77" s="23">
        <v>1.89505642674005</v>
      </c>
      <c r="BC77" s="23">
        <v>-0.68213055571358505</v>
      </c>
      <c r="BD77" s="23">
        <v>1.74018680270615</v>
      </c>
      <c r="BE77" s="23">
        <v>-0.13963357474655999</v>
      </c>
      <c r="BF77" s="23">
        <v>1.5485426454619899</v>
      </c>
      <c r="BG77" s="23">
        <v>-0.17040340936568599</v>
      </c>
      <c r="BH77" s="23">
        <v>0.28693680889293599</v>
      </c>
      <c r="BI77" s="23">
        <v>-0.15287817582359201</v>
      </c>
      <c r="BJ77" s="23">
        <v>0.37493605718110401</v>
      </c>
      <c r="BK77" s="36">
        <v>2.9388802608176098E-2</v>
      </c>
      <c r="BL77" s="2"/>
      <c r="BM77" s="35">
        <v>0.123161931681967</v>
      </c>
      <c r="BN77" s="21">
        <v>48.871820627889299</v>
      </c>
      <c r="BO77" s="25">
        <v>0.123543588940166</v>
      </c>
      <c r="BP77" s="21">
        <v>48.070610977341801</v>
      </c>
      <c r="BQ77" s="25">
        <v>0.123164192245035</v>
      </c>
      <c r="BR77" s="21">
        <v>75.965146512012595</v>
      </c>
      <c r="BS77" s="25">
        <v>0.12359258006947201</v>
      </c>
      <c r="BT77" s="32">
        <v>74.799034150470206</v>
      </c>
      <c r="BV77" s="37">
        <f>14656497/1000000</f>
        <v>14.656497</v>
      </c>
      <c r="BW77" s="1">
        <v>1000</v>
      </c>
      <c r="BX77" s="1">
        <v>750</v>
      </c>
      <c r="BY77" s="21">
        <v>9.8907174718070792</v>
      </c>
      <c r="BZ77" s="21">
        <v>39.827167168401097</v>
      </c>
      <c r="CA77" s="45">
        <v>9.5809115580221192E-6</v>
      </c>
      <c r="CB77" s="45">
        <v>5.55039437283759E-3</v>
      </c>
      <c r="CC77" s="45">
        <v>1.59546293497941E-4</v>
      </c>
      <c r="CD77" s="45">
        <v>5.2093577762661299E-4</v>
      </c>
      <c r="CE77" s="45">
        <v>3.1034570132006101E-4</v>
      </c>
      <c r="CF77" s="45">
        <v>3.6418711660621403E-4</v>
      </c>
      <c r="CG77" s="23"/>
      <c r="CH77" s="21">
        <v>35.907390594482401</v>
      </c>
      <c r="CI77" s="21"/>
      <c r="CJ77" s="38"/>
      <c r="CL77" s="88">
        <v>14.9849794123012</v>
      </c>
      <c r="CM77" s="1">
        <v>-229.396258217785</v>
      </c>
      <c r="CN77" s="20">
        <v>20.732610372440099</v>
      </c>
    </row>
    <row r="78" spans="2:92" s="1" customFormat="1" x14ac:dyDescent="0.25">
      <c r="B78" s="2" t="s">
        <v>282</v>
      </c>
      <c r="C78" s="18" t="s">
        <v>273</v>
      </c>
      <c r="D78" s="14"/>
      <c r="E78" s="19">
        <v>58</v>
      </c>
      <c r="F78" s="18">
        <v>33.799999999999997</v>
      </c>
      <c r="G78" s="22">
        <v>0.74999999999999589</v>
      </c>
      <c r="H78" s="21">
        <v>0.7</v>
      </c>
      <c r="I78" s="21">
        <v>4.47</v>
      </c>
      <c r="J78" s="21">
        <v>4.2759999999999998</v>
      </c>
      <c r="K78" s="21">
        <f t="shared" si="24"/>
        <v>-0.90039930933485612</v>
      </c>
      <c r="L78" s="1">
        <v>20.085999999999999</v>
      </c>
      <c r="M78" s="14">
        <v>11</v>
      </c>
      <c r="N78" s="24">
        <v>113.352975066051</v>
      </c>
      <c r="O78" s="23">
        <v>3.03922246345831</v>
      </c>
      <c r="P78" s="23">
        <v>242.49428933864101</v>
      </c>
      <c r="Q78" s="23">
        <f t="shared" si="22"/>
        <v>66.442308816655299</v>
      </c>
      <c r="R78" s="23">
        <f t="shared" si="23"/>
        <v>176.05198052198571</v>
      </c>
      <c r="S78" s="25">
        <f t="shared" si="25"/>
        <v>2.1392847359969078</v>
      </c>
      <c r="T78" s="21">
        <v>-4.8931611339266299</v>
      </c>
      <c r="U78" s="21">
        <v>-40.457377398038197</v>
      </c>
      <c r="V78" s="21">
        <v>-11.020216557656299</v>
      </c>
      <c r="W78" s="21">
        <f t="shared" si="12"/>
        <v>48.003043585844338</v>
      </c>
      <c r="X78" s="32">
        <f t="shared" si="21"/>
        <v>27.399535468593754</v>
      </c>
      <c r="Y78" s="35">
        <f t="shared" si="28"/>
        <v>1.5294717499214165</v>
      </c>
      <c r="Z78" s="25">
        <f t="shared" si="15"/>
        <v>4.1008230237251607E-2</v>
      </c>
      <c r="AA78" s="25">
        <f t="shared" si="26"/>
        <v>3.2719755687453667</v>
      </c>
      <c r="AB78" s="25">
        <f t="shared" si="13"/>
        <v>-6.6023425655950471E-2</v>
      </c>
      <c r="AC78" s="25">
        <f t="shared" si="27"/>
        <v>-0.54589141370265737</v>
      </c>
      <c r="AD78" s="34">
        <f t="shared" si="14"/>
        <v>-0.14869578758854846</v>
      </c>
      <c r="AE78" s="2"/>
      <c r="AF78" s="24">
        <v>4.9837284630539198</v>
      </c>
      <c r="AG78" s="23">
        <v>39.059329842627399</v>
      </c>
      <c r="AH78" s="23">
        <v>3.7127191605115799</v>
      </c>
      <c r="AI78" s="23">
        <v>25.936596885926299</v>
      </c>
      <c r="AJ78" s="23">
        <v>6.9071756869456999</v>
      </c>
      <c r="AK78" s="23">
        <v>45.338125669381597</v>
      </c>
      <c r="AL78" s="23">
        <v>42.699466195133397</v>
      </c>
      <c r="AM78" s="23">
        <v>77.849122628152998</v>
      </c>
      <c r="AN78" s="23">
        <v>6.7517039747511296</v>
      </c>
      <c r="AO78" s="23">
        <v>12.6459439090511</v>
      </c>
      <c r="AP78" s="23">
        <v>7.2860749061726802</v>
      </c>
      <c r="AQ78" s="23">
        <v>11.9273697479059</v>
      </c>
      <c r="AR78" s="23">
        <v>2.8122176188960601</v>
      </c>
      <c r="AS78" s="23">
        <v>31.757779757706501</v>
      </c>
      <c r="AT78" s="23">
        <v>14.474008165929201</v>
      </c>
      <c r="AU78" s="23">
        <v>11.232685234862901</v>
      </c>
      <c r="AV78" s="23">
        <v>4.2912856089446096</v>
      </c>
      <c r="AW78" s="23">
        <v>-1.5071935542421899</v>
      </c>
      <c r="AX78" s="23">
        <v>4.8646013964668704</v>
      </c>
      <c r="AY78" s="23">
        <v>-1.6814118052724301</v>
      </c>
      <c r="AZ78" s="23">
        <v>3.0907156737942998</v>
      </c>
      <c r="BA78" s="23">
        <v>-2.18149496837469</v>
      </c>
      <c r="BB78" s="23">
        <v>3.3936606723329801</v>
      </c>
      <c r="BC78" s="23">
        <v>-1.193567652134</v>
      </c>
      <c r="BD78" s="23">
        <v>1.96236273512551</v>
      </c>
      <c r="BE78" s="23">
        <v>-0.21587710449058001</v>
      </c>
      <c r="BF78" s="23">
        <v>1.89250269935392</v>
      </c>
      <c r="BG78" s="23">
        <v>-0.311816876510084</v>
      </c>
      <c r="BH78" s="23">
        <v>0.70163605772545401</v>
      </c>
      <c r="BI78" s="23">
        <v>-0.34897246649453301</v>
      </c>
      <c r="BJ78" s="23">
        <v>0.37141150417449298</v>
      </c>
      <c r="BK78" s="36">
        <v>2.32334176270384E-2</v>
      </c>
      <c r="BL78" s="2"/>
      <c r="BM78" s="35">
        <v>0.124894905608255</v>
      </c>
      <c r="BN78" s="21">
        <v>45.458970747420999</v>
      </c>
      <c r="BO78" s="25">
        <v>0.124831718096564</v>
      </c>
      <c r="BP78" s="21">
        <v>41.848662057499801</v>
      </c>
      <c r="BQ78" s="25">
        <v>0.124857574405405</v>
      </c>
      <c r="BR78" s="21">
        <v>69.339922895426398</v>
      </c>
      <c r="BS78" s="25">
        <v>0.124780131542399</v>
      </c>
      <c r="BT78" s="32">
        <v>66.584475733167594</v>
      </c>
      <c r="BV78" s="37">
        <f>14113288/1000000</f>
        <v>14.113288000000001</v>
      </c>
      <c r="BW78" s="1">
        <v>1000</v>
      </c>
      <c r="BX78" s="1">
        <v>750</v>
      </c>
      <c r="BY78" s="21">
        <v>11.746415611138501</v>
      </c>
      <c r="BZ78" s="21">
        <v>46.6097111815996</v>
      </c>
      <c r="CA78" s="45">
        <v>1.18102286191554E-5</v>
      </c>
      <c r="CB78" s="45">
        <v>6.2041775891571596E-3</v>
      </c>
      <c r="CC78" s="45">
        <v>1.40102261618351E-4</v>
      </c>
      <c r="CD78" s="45">
        <v>4.1058632124407702E-4</v>
      </c>
      <c r="CE78" s="45">
        <v>4.0489650306634701E-4</v>
      </c>
      <c r="CF78" s="45">
        <v>3.6950863336738599E-4</v>
      </c>
      <c r="CG78" s="23"/>
      <c r="CH78" s="21">
        <v>13.9577484130859</v>
      </c>
      <c r="CI78" s="21"/>
      <c r="CJ78" s="38"/>
      <c r="CL78" s="88">
        <v>-5.8110063178910298</v>
      </c>
      <c r="CM78" s="1">
        <v>-271.12005000385801</v>
      </c>
      <c r="CN78" s="20">
        <v>-13.482108321956099</v>
      </c>
    </row>
    <row r="79" spans="2:92" s="1" customFormat="1" x14ac:dyDescent="0.25">
      <c r="B79" s="2" t="s">
        <v>283</v>
      </c>
      <c r="C79" s="1" t="s">
        <v>274</v>
      </c>
      <c r="D79" s="14"/>
      <c r="E79" s="19">
        <v>56.4</v>
      </c>
      <c r="F79" s="1">
        <v>47</v>
      </c>
      <c r="G79" s="21">
        <v>4.3499999999999979</v>
      </c>
      <c r="H79" s="21">
        <v>0.5</v>
      </c>
      <c r="I79" s="21">
        <v>7.3810000000000002</v>
      </c>
      <c r="J79" s="21">
        <v>6.867</v>
      </c>
      <c r="K79" s="21">
        <f t="shared" si="24"/>
        <v>-0.34972965704074549</v>
      </c>
      <c r="L79" s="1">
        <v>12.273</v>
      </c>
      <c r="M79" s="14">
        <v>11</v>
      </c>
      <c r="N79" s="24">
        <v>114.07518876920901</v>
      </c>
      <c r="O79" s="23">
        <v>-9.8667398175881598</v>
      </c>
      <c r="P79" s="23">
        <v>241.357743807969</v>
      </c>
      <c r="Q79" s="23">
        <f t="shared" si="22"/>
        <v>68.082706735274868</v>
      </c>
      <c r="R79" s="23">
        <f t="shared" si="23"/>
        <v>173.27503707269412</v>
      </c>
      <c r="S79" s="25">
        <f t="shared" si="25"/>
        <v>2.115777728812454</v>
      </c>
      <c r="T79" s="21">
        <v>-0.76688441063329604</v>
      </c>
      <c r="U79" s="21">
        <v>-36.883423289439897</v>
      </c>
      <c r="V79" s="21">
        <v>-20.943063390353601</v>
      </c>
      <c r="W79" s="21">
        <f t="shared" si="12"/>
        <v>50.764035638331308</v>
      </c>
      <c r="X79" s="32">
        <f t="shared" si="21"/>
        <v>28.20821311183758</v>
      </c>
      <c r="Y79" s="35">
        <f t="shared" si="28"/>
        <v>1.5392165797835586</v>
      </c>
      <c r="Z79" s="25">
        <f t="shared" si="15"/>
        <v>-0.13313192535116422</v>
      </c>
      <c r="AA79" s="25">
        <f t="shared" si="26"/>
        <v>3.256640159324931</v>
      </c>
      <c r="AB79" s="25">
        <f t="shared" si="13"/>
        <v>-1.0347571740709003E-2</v>
      </c>
      <c r="AC79" s="25">
        <f t="shared" si="27"/>
        <v>-0.49766804910696427</v>
      </c>
      <c r="AD79" s="34">
        <f t="shared" si="14"/>
        <v>-0.2825847649229698</v>
      </c>
      <c r="AE79" s="2"/>
      <c r="AF79" s="24">
        <v>4.83721757176626</v>
      </c>
      <c r="AG79" s="23">
        <v>39.409143312517699</v>
      </c>
      <c r="AH79" s="23">
        <v>3.82917731130091</v>
      </c>
      <c r="AI79" s="23">
        <v>29.322461717156798</v>
      </c>
      <c r="AJ79" s="23">
        <v>6.6771132684961003</v>
      </c>
      <c r="AK79" s="23">
        <v>46.075568219148202</v>
      </c>
      <c r="AL79" s="23">
        <v>43.834051001412</v>
      </c>
      <c r="AM79" s="23">
        <v>77.132264591382494</v>
      </c>
      <c r="AN79" s="23">
        <v>7.0839455283847999</v>
      </c>
      <c r="AO79" s="23">
        <v>12.5663843498918</v>
      </c>
      <c r="AP79" s="23">
        <v>7.4663254426170198</v>
      </c>
      <c r="AQ79" s="23">
        <v>13.5390458286377</v>
      </c>
      <c r="AR79" s="23">
        <v>2.8582793534522</v>
      </c>
      <c r="AS79" s="23">
        <v>27.0512944149345</v>
      </c>
      <c r="AT79" s="23">
        <v>14.757739429477599</v>
      </c>
      <c r="AU79" s="23">
        <v>10.6054729412773</v>
      </c>
      <c r="AV79" s="23">
        <v>2.9879699334799099</v>
      </c>
      <c r="AW79" s="23">
        <v>-1.46005279995326</v>
      </c>
      <c r="AX79" s="23">
        <v>5.96782427953866</v>
      </c>
      <c r="AY79" s="23">
        <v>-1.5775990718422801</v>
      </c>
      <c r="AZ79" s="23">
        <v>3.7463128994712598</v>
      </c>
      <c r="BA79" s="23">
        <v>-2.1342057120706999</v>
      </c>
      <c r="BB79" s="23">
        <v>3.1214972491685802</v>
      </c>
      <c r="BC79" s="23">
        <v>-1.61056686842315</v>
      </c>
      <c r="BD79" s="23">
        <v>1.7979787472872399</v>
      </c>
      <c r="BE79" s="23">
        <v>-0.15695859923570701</v>
      </c>
      <c r="BF79" s="23">
        <v>2.1797788130677</v>
      </c>
      <c r="BG79" s="23">
        <v>-0.298618275890013</v>
      </c>
      <c r="BH79" s="23">
        <v>0.54895709521171299</v>
      </c>
      <c r="BI79" s="23">
        <v>-0.30007885973476001</v>
      </c>
      <c r="BJ79" s="23">
        <v>0.24972489215520399</v>
      </c>
      <c r="BK79" s="36">
        <v>5.7738531767535899E-2</v>
      </c>
      <c r="BL79" s="2"/>
      <c r="BM79" s="35">
        <v>0.122314429376138</v>
      </c>
      <c r="BN79" s="21">
        <v>48.317589126078502</v>
      </c>
      <c r="BO79" s="25">
        <v>0.12660736274864801</v>
      </c>
      <c r="BP79" s="21">
        <v>58.233574496209002</v>
      </c>
      <c r="BQ79" s="25">
        <v>0.12231126592759201</v>
      </c>
      <c r="BR79" s="21">
        <v>74.362921563536602</v>
      </c>
      <c r="BS79" s="25">
        <v>0.12661309356690101</v>
      </c>
      <c r="BT79" s="32">
        <v>62.738265640656998</v>
      </c>
      <c r="BV79" s="37">
        <f>14389438/1000000</f>
        <v>14.389438</v>
      </c>
      <c r="BW79" s="1">
        <v>1000</v>
      </c>
      <c r="BX79" s="1">
        <v>750</v>
      </c>
      <c r="BY79" s="21">
        <v>13.304316007999899</v>
      </c>
      <c r="BZ79" s="21">
        <v>53.113624334810297</v>
      </c>
      <c r="CA79" s="45">
        <v>1.0922118375353E-5</v>
      </c>
      <c r="CB79" s="45">
        <v>6.0440829329795999E-3</v>
      </c>
      <c r="CC79" s="45">
        <v>1.4169136243889299E-4</v>
      </c>
      <c r="CD79" s="45">
        <v>3.8666343399943701E-4</v>
      </c>
      <c r="CE79" s="45">
        <v>3.7929771748154001E-4</v>
      </c>
      <c r="CF79" s="45">
        <v>3.7667749454905298E-4</v>
      </c>
      <c r="CG79" s="23"/>
      <c r="CH79" s="21">
        <v>14.2435340881347</v>
      </c>
      <c r="CI79" s="21"/>
      <c r="CJ79" s="38"/>
      <c r="CL79" s="88">
        <v>2.2128710142783201</v>
      </c>
      <c r="CM79" s="1">
        <v>-266.84355709194898</v>
      </c>
      <c r="CN79" s="20">
        <v>-12.9506094685145</v>
      </c>
    </row>
    <row r="80" spans="2:92" s="1" customFormat="1" x14ac:dyDescent="0.25">
      <c r="B80" s="2" t="s">
        <v>284</v>
      </c>
      <c r="C80" s="1" t="s">
        <v>276</v>
      </c>
      <c r="D80" s="14"/>
      <c r="E80" s="19">
        <v>38</v>
      </c>
      <c r="F80" s="1">
        <v>61.4</v>
      </c>
      <c r="G80" s="21">
        <v>14.249999999999945</v>
      </c>
      <c r="H80" s="21">
        <v>0.74</v>
      </c>
      <c r="I80" s="21">
        <v>2.9180000000000001</v>
      </c>
      <c r="J80" s="21">
        <v>2.8330000000000002</v>
      </c>
      <c r="K80" s="21">
        <f t="shared" si="24"/>
        <v>0.87063171259139105</v>
      </c>
      <c r="L80" s="1">
        <v>30.632000000000001</v>
      </c>
      <c r="M80" s="14">
        <v>11</v>
      </c>
      <c r="N80" s="24">
        <v>99.300029949066499</v>
      </c>
      <c r="O80" s="23">
        <v>-61.8419172086816</v>
      </c>
      <c r="P80" s="23">
        <v>209.12107303139501</v>
      </c>
      <c r="Q80" s="23">
        <f t="shared" si="22"/>
        <v>80.115036001497614</v>
      </c>
      <c r="R80" s="23">
        <f t="shared" si="23"/>
        <v>129.00603702989741</v>
      </c>
      <c r="S80" s="25">
        <f t="shared" si="25"/>
        <v>2.1059517619345987</v>
      </c>
      <c r="T80" s="21">
        <v>11.903269174237</v>
      </c>
      <c r="U80" s="21">
        <v>0.71574601692764706</v>
      </c>
      <c r="V80" s="21">
        <v>-14.4779545073353</v>
      </c>
      <c r="W80" s="21">
        <f t="shared" si="12"/>
        <v>62.185735169257683</v>
      </c>
      <c r="X80" s="32">
        <f t="shared" si="21"/>
        <v>38.310360041749625</v>
      </c>
      <c r="Y80" s="35">
        <f t="shared" si="28"/>
        <v>1.3398553543473299</v>
      </c>
      <c r="Z80" s="25">
        <f t="shared" si="15"/>
        <v>-0.83443302018797894</v>
      </c>
      <c r="AA80" s="25">
        <f t="shared" si="26"/>
        <v>2.8216707442252655</v>
      </c>
      <c r="AB80" s="25">
        <f t="shared" si="13"/>
        <v>0.16061081699088545</v>
      </c>
      <c r="AC80" s="25">
        <f t="shared" si="27"/>
        <v>9.6575613685632913E-3</v>
      </c>
      <c r="AD80" s="34">
        <f t="shared" si="14"/>
        <v>-0.19535104749313945</v>
      </c>
      <c r="AE80" s="2"/>
      <c r="AF80" s="24">
        <v>4.1165577723052102</v>
      </c>
      <c r="AG80" s="23">
        <v>39.042936885957403</v>
      </c>
      <c r="AH80" s="23">
        <v>3.8731105718463201</v>
      </c>
      <c r="AI80" s="23">
        <v>27.820701773088398</v>
      </c>
      <c r="AJ80" s="23">
        <v>7.1726374002089699</v>
      </c>
      <c r="AK80" s="23">
        <v>50.687397009092699</v>
      </c>
      <c r="AL80" s="23">
        <v>35.268612826111102</v>
      </c>
      <c r="AM80" s="23">
        <v>53.752515723014398</v>
      </c>
      <c r="AN80" s="23">
        <v>6.7341437706409497</v>
      </c>
      <c r="AO80" s="23">
        <v>10.4412520920405</v>
      </c>
      <c r="AP80" s="23">
        <v>7.4726768147757703</v>
      </c>
      <c r="AQ80" s="23">
        <v>14.257228072502</v>
      </c>
      <c r="AR80" s="23">
        <v>2.2777656609805299</v>
      </c>
      <c r="AS80" s="23">
        <v>17.9243447975261</v>
      </c>
      <c r="AT80" s="23">
        <v>12.4983486549833</v>
      </c>
      <c r="AU80" s="23">
        <v>8.3032599391811299</v>
      </c>
      <c r="AV80" s="23">
        <v>2.4161011685370402</v>
      </c>
      <c r="AW80" s="23">
        <v>-1.0665678894642101</v>
      </c>
      <c r="AX80" s="23">
        <v>4.9840054064817902</v>
      </c>
      <c r="AY80" s="23">
        <v>-2.8501055729335598</v>
      </c>
      <c r="AZ80" s="23">
        <v>4.5362846547911104</v>
      </c>
      <c r="BA80" s="23">
        <v>-1.68138460848209</v>
      </c>
      <c r="BB80" s="23">
        <v>2.3189940211202802</v>
      </c>
      <c r="BC80" s="23">
        <v>-1.26273888618415</v>
      </c>
      <c r="BD80" s="23">
        <v>1.67257409465347</v>
      </c>
      <c r="BE80" s="23">
        <v>-0.184224087934761</v>
      </c>
      <c r="BF80" s="23">
        <v>1.7632564486850699</v>
      </c>
      <c r="BG80" s="23">
        <v>-5.6921588626787402E-2</v>
      </c>
      <c r="BH80" s="23">
        <v>0.381090176787163</v>
      </c>
      <c r="BI80" s="23">
        <v>-5.0580025252514899E-2</v>
      </c>
      <c r="BJ80" s="23">
        <v>0.27726060644511302</v>
      </c>
      <c r="BK80" s="36">
        <v>-0.155832889901272</v>
      </c>
      <c r="BL80" s="2"/>
      <c r="BM80" s="35">
        <v>0.12435586338492</v>
      </c>
      <c r="BN80" s="21">
        <v>54.749755600657501</v>
      </c>
      <c r="BO80" s="25">
        <v>0.124612640001611</v>
      </c>
      <c r="BP80" s="21">
        <v>51.624925336200299</v>
      </c>
      <c r="BQ80" s="25">
        <v>0.12437952952053501</v>
      </c>
      <c r="BR80" s="21">
        <v>68.943175132239602</v>
      </c>
      <c r="BS80" s="25">
        <v>0.124620893760388</v>
      </c>
      <c r="BT80" s="32">
        <v>70.828100125072595</v>
      </c>
      <c r="BV80" s="37">
        <f>14418786/1000000</f>
        <v>14.418786000000001</v>
      </c>
      <c r="BW80" s="1">
        <v>1000</v>
      </c>
      <c r="BX80" s="1">
        <v>750</v>
      </c>
      <c r="BY80" s="21">
        <v>12.306314288249</v>
      </c>
      <c r="BZ80" s="21">
        <v>48.601444855189797</v>
      </c>
      <c r="CA80" s="45">
        <v>9.7696556082586802E-6</v>
      </c>
      <c r="CB80" s="45">
        <v>6.2348865651207404E-3</v>
      </c>
      <c r="CC80" s="45">
        <v>1.4883718096777901E-4</v>
      </c>
      <c r="CD80" s="45">
        <v>5.0649923880447705E-4</v>
      </c>
      <c r="CE80" s="45">
        <v>3.8669382204111299E-4</v>
      </c>
      <c r="CF80" s="45">
        <v>3.7917720269794601E-4</v>
      </c>
      <c r="CG80" s="23"/>
      <c r="CH80" s="21">
        <v>14.261634826660099</v>
      </c>
      <c r="CI80" s="21"/>
      <c r="CJ80" s="38"/>
      <c r="CL80" s="88">
        <v>30.5795281712589</v>
      </c>
      <c r="CM80" s="1">
        <v>-198.66929702604199</v>
      </c>
      <c r="CN80" s="20">
        <v>35.616472108385103</v>
      </c>
    </row>
    <row r="81" spans="2:92" s="1" customFormat="1" x14ac:dyDescent="0.25">
      <c r="B81" s="2" t="s">
        <v>285</v>
      </c>
      <c r="C81" s="1" t="s">
        <v>275</v>
      </c>
      <c r="D81" s="14"/>
      <c r="E81" s="19">
        <v>52.4</v>
      </c>
      <c r="F81" s="1">
        <v>65</v>
      </c>
      <c r="G81" s="21">
        <v>3.4499999999999962</v>
      </c>
      <c r="H81" s="21">
        <v>0.46</v>
      </c>
      <c r="I81" s="21">
        <v>11.474</v>
      </c>
      <c r="J81" s="21">
        <v>10.275</v>
      </c>
      <c r="K81" s="21">
        <f t="shared" si="24"/>
        <v>0.4687888809499563</v>
      </c>
      <c r="L81" s="1">
        <v>7.9809999999999999</v>
      </c>
      <c r="M81" s="14">
        <v>11</v>
      </c>
      <c r="N81" s="24">
        <v>112.233552025232</v>
      </c>
      <c r="O81" s="23">
        <v>0.117524858620384</v>
      </c>
      <c r="P81" s="23">
        <v>241.36731396813499</v>
      </c>
      <c r="Q81" s="23">
        <f t="shared" si="22"/>
        <v>80.254166191070055</v>
      </c>
      <c r="R81" s="23">
        <f t="shared" si="23"/>
        <v>161.11314777706497</v>
      </c>
      <c r="S81" s="25">
        <f t="shared" si="25"/>
        <v>2.15058072753388</v>
      </c>
      <c r="T81" s="21">
        <v>-2.34642107335294E-2</v>
      </c>
      <c r="U81" s="21">
        <v>-18.702535858312501</v>
      </c>
      <c r="V81" s="21">
        <v>-29.713156856362001</v>
      </c>
      <c r="W81" s="21">
        <f t="shared" si="12"/>
        <v>49.979644883328923</v>
      </c>
      <c r="X81" s="32">
        <f t="shared" si="21"/>
        <v>33.249807056172116</v>
      </c>
      <c r="Y81" s="35">
        <f t="shared" si="28"/>
        <v>1.5143673742652317</v>
      </c>
      <c r="Z81" s="25">
        <f t="shared" si="15"/>
        <v>1.5857629768309528E-3</v>
      </c>
      <c r="AA81" s="25">
        <f t="shared" si="26"/>
        <v>3.2567692895008933</v>
      </c>
      <c r="AB81" s="25">
        <f t="shared" si="13"/>
        <v>-3.1660260730010992E-4</v>
      </c>
      <c r="AC81" s="25">
        <f t="shared" si="27"/>
        <v>-0.25235332579946024</v>
      </c>
      <c r="AD81" s="34">
        <f t="shared" si="14"/>
        <v>-0.40091964049737894</v>
      </c>
      <c r="AE81" s="2"/>
      <c r="AF81" s="24">
        <v>4.3819195501816299</v>
      </c>
      <c r="AG81" s="23">
        <v>37.0851370748778</v>
      </c>
      <c r="AH81" s="23">
        <v>4.3467509323117799</v>
      </c>
      <c r="AI81" s="23">
        <v>33.608746590151902</v>
      </c>
      <c r="AJ81" s="23">
        <v>7.3813783094478298</v>
      </c>
      <c r="AK81" s="23">
        <v>51.184940253485898</v>
      </c>
      <c r="AL81" s="23">
        <v>42.347969829117801</v>
      </c>
      <c r="AM81" s="23">
        <v>71.977552915521798</v>
      </c>
      <c r="AN81" s="23">
        <v>7.1163940816513502</v>
      </c>
      <c r="AO81" s="23">
        <v>13.219032488181499</v>
      </c>
      <c r="AP81" s="23">
        <v>8.11198631156579</v>
      </c>
      <c r="AQ81" s="23">
        <v>15.224517234243001</v>
      </c>
      <c r="AR81" s="23">
        <v>2.9077859146744398</v>
      </c>
      <c r="AS81" s="23">
        <v>22.439259751027802</v>
      </c>
      <c r="AT81" s="23">
        <v>14.502144661949799</v>
      </c>
      <c r="AU81" s="23">
        <v>12.461149428339301</v>
      </c>
      <c r="AV81" s="23">
        <v>2.3807757542831198</v>
      </c>
      <c r="AW81" s="23">
        <v>-1.7254563227839399</v>
      </c>
      <c r="AX81" s="23">
        <v>5.1536744107897396</v>
      </c>
      <c r="AY81" s="23">
        <v>-2.0743756195607901</v>
      </c>
      <c r="AZ81" s="23">
        <v>3.58338238494825</v>
      </c>
      <c r="BA81" s="23">
        <v>-2.3487896187316499</v>
      </c>
      <c r="BB81" s="23">
        <v>3.6311257948847699</v>
      </c>
      <c r="BC81" s="23">
        <v>-2.2636123314872498</v>
      </c>
      <c r="BD81" s="23">
        <v>1.77223675186102</v>
      </c>
      <c r="BE81" s="23">
        <v>-0.13776269557291401</v>
      </c>
      <c r="BF81" s="23">
        <v>2.1938044873642699</v>
      </c>
      <c r="BG81" s="23">
        <v>-0.371340755595227</v>
      </c>
      <c r="BH81" s="23">
        <v>0.39731435873622101</v>
      </c>
      <c r="BI81" s="23">
        <v>-0.15126961119594501</v>
      </c>
      <c r="BJ81" s="23">
        <v>0.29727560860554503</v>
      </c>
      <c r="BK81" s="36">
        <v>-5.4065095762598998E-2</v>
      </c>
      <c r="BL81" s="2"/>
      <c r="BM81" s="35">
        <v>0.12361366964126</v>
      </c>
      <c r="BN81" s="21">
        <v>56.3633692755458</v>
      </c>
      <c r="BO81" s="25">
        <v>0.12439572162377301</v>
      </c>
      <c r="BP81" s="21">
        <v>65.797197449088003</v>
      </c>
      <c r="BQ81" s="25">
        <v>0.123605864518852</v>
      </c>
      <c r="BR81" s="21">
        <v>73.681454154801997</v>
      </c>
      <c r="BS81" s="25">
        <v>0.124400356369594</v>
      </c>
      <c r="BT81" s="32">
        <v>67.610748525067095</v>
      </c>
      <c r="BV81" s="37">
        <f>14417379/1000000</f>
        <v>14.417379</v>
      </c>
      <c r="BW81" s="1">
        <v>1000</v>
      </c>
      <c r="BX81" s="1">
        <v>750</v>
      </c>
      <c r="BY81" s="21">
        <v>9.7168166648072596</v>
      </c>
      <c r="BZ81" s="21">
        <v>38.571323719607598</v>
      </c>
      <c r="CA81" s="45">
        <v>1.1216949049378101E-5</v>
      </c>
      <c r="CB81" s="45">
        <v>5.9947895671900999E-3</v>
      </c>
      <c r="CC81" s="45">
        <v>1.4645707007881901E-4</v>
      </c>
      <c r="CD81" s="45">
        <v>4.3020675010247003E-4</v>
      </c>
      <c r="CE81" s="45">
        <v>4.3297866003808499E-4</v>
      </c>
      <c r="CF81" s="45">
        <v>4.19788910508552E-4</v>
      </c>
      <c r="CG81" s="23"/>
      <c r="CH81" s="21">
        <v>40.654712677001903</v>
      </c>
      <c r="CI81" s="21"/>
      <c r="CJ81" s="38"/>
      <c r="CL81" s="88">
        <v>-5.8956718036877902E-2</v>
      </c>
      <c r="CM81" s="1">
        <v>-248.11424757667999</v>
      </c>
      <c r="CN81" s="20">
        <v>-29.8083566928388</v>
      </c>
    </row>
    <row r="82" spans="2:92" s="1" customFormat="1" x14ac:dyDescent="0.25">
      <c r="B82" s="2" t="s">
        <v>298</v>
      </c>
      <c r="C82" s="1" t="s">
        <v>287</v>
      </c>
      <c r="D82" s="14"/>
      <c r="E82" s="19">
        <v>27.6</v>
      </c>
      <c r="F82" s="1">
        <v>77</v>
      </c>
      <c r="G82" s="21">
        <v>10.949999999999994</v>
      </c>
      <c r="H82" s="21">
        <v>0.02</v>
      </c>
      <c r="I82" s="21">
        <v>1.639</v>
      </c>
      <c r="J82" s="21">
        <v>1.6120000000000001</v>
      </c>
      <c r="K82" s="21">
        <f t="shared" si="24"/>
        <v>1.83824489945726</v>
      </c>
      <c r="L82" s="1">
        <v>54.39</v>
      </c>
      <c r="M82" s="14">
        <v>11</v>
      </c>
      <c r="N82" s="24">
        <v>105.013890787623</v>
      </c>
      <c r="O82" s="23">
        <v>-47.6336199487166</v>
      </c>
      <c r="P82" s="23">
        <v>235.59978656464699</v>
      </c>
      <c r="Q82" s="23">
        <f t="shared" si="22"/>
        <v>95.370399091161914</v>
      </c>
      <c r="R82" s="23">
        <f t="shared" si="23"/>
        <v>140.22938747348508</v>
      </c>
      <c r="S82" s="25">
        <f t="shared" si="25"/>
        <v>2.2435106898488035</v>
      </c>
      <c r="T82" s="21">
        <v>6.7128303485507104</v>
      </c>
      <c r="U82" s="21">
        <v>6.6061894175213602</v>
      </c>
      <c r="V82" s="21">
        <v>-11.269226653106401</v>
      </c>
      <c r="W82" s="21">
        <f t="shared" ref="W82:W124" si="29">IF(OR(ISERROR((($CL82)/(1.2*$P82)+0.5)*100),$CL82=""),"",(($CL82)/(1.2*$P82)+0.5)*100)</f>
        <v>57.462578765704833</v>
      </c>
      <c r="X82" s="32">
        <f t="shared" si="21"/>
        <v>40.479832550694148</v>
      </c>
      <c r="Y82" s="35">
        <f t="shared" si="28"/>
        <v>1.4169524815331149</v>
      </c>
      <c r="Z82" s="25">
        <f t="shared" si="15"/>
        <v>-0.64272045807005018</v>
      </c>
      <c r="AA82" s="25">
        <f t="shared" si="26"/>
        <v>3.1789480393273326</v>
      </c>
      <c r="AB82" s="25">
        <f t="shared" ref="AB82:AB124" si="30">IF(OR(ISERROR($T82/$M82)),"",($T82*2)/(1.225*($M82^2)))</f>
        <v>9.0576223289603089E-2</v>
      </c>
      <c r="AC82" s="25">
        <f t="shared" si="27"/>
        <v>8.9137317153265089E-2</v>
      </c>
      <c r="AD82" s="34">
        <f t="shared" si="14"/>
        <v>-0.15205568093245267</v>
      </c>
      <c r="AE82" s="2"/>
      <c r="AF82" s="24">
        <v>4.8285423547541404</v>
      </c>
      <c r="AG82" s="23">
        <v>39.848799671532198</v>
      </c>
      <c r="AH82" s="23">
        <v>4.35609267367904</v>
      </c>
      <c r="AI82" s="23">
        <v>28.933003064607799</v>
      </c>
      <c r="AJ82" s="23">
        <v>8.2076528801532795</v>
      </c>
      <c r="AK82" s="23">
        <v>57.599650026247701</v>
      </c>
      <c r="AL82" s="23">
        <v>39.209284172111602</v>
      </c>
      <c r="AM82" s="23">
        <v>62.973510395042197</v>
      </c>
      <c r="AN82" s="23">
        <v>7.4181249489338903</v>
      </c>
      <c r="AO82" s="23">
        <v>11.095352201226699</v>
      </c>
      <c r="AP82" s="23">
        <v>7.70954801005474</v>
      </c>
      <c r="AQ82" s="23">
        <v>13.573618502588699</v>
      </c>
      <c r="AR82" s="23">
        <v>2.7000747492735502</v>
      </c>
      <c r="AS82" s="23">
        <v>20.588073970113399</v>
      </c>
      <c r="AT82" s="23">
        <v>13.3524469445553</v>
      </c>
      <c r="AU82" s="23">
        <v>12.565719871926801</v>
      </c>
      <c r="AV82" s="23">
        <v>1.78312481354135</v>
      </c>
      <c r="AW82" s="23">
        <v>-1.05371099498066</v>
      </c>
      <c r="AX82" s="23">
        <v>4.5188796020765798</v>
      </c>
      <c r="AY82" s="23">
        <v>-2.4452980054905602</v>
      </c>
      <c r="AZ82" s="23">
        <v>4.0545096919369703</v>
      </c>
      <c r="BA82" s="23">
        <v>-1.7250862382649701</v>
      </c>
      <c r="BB82" s="23">
        <v>1.7554235741177899</v>
      </c>
      <c r="BC82" s="23">
        <v>-1.33910108237364</v>
      </c>
      <c r="BD82" s="23">
        <v>1.5568760787712099</v>
      </c>
      <c r="BE82" s="23">
        <v>-0.133216759544455</v>
      </c>
      <c r="BF82" s="23">
        <v>1.48622088238068</v>
      </c>
      <c r="BG82" s="23">
        <v>0.40670840608402198</v>
      </c>
      <c r="BH82" s="23">
        <v>0.24983809330890999</v>
      </c>
      <c r="BI82" s="23">
        <v>9.03560318800148E-2</v>
      </c>
      <c r="BJ82" s="23">
        <v>0.267402026220869</v>
      </c>
      <c r="BK82" s="36">
        <v>-0.199605225460043</v>
      </c>
      <c r="BL82" s="2"/>
      <c r="BM82" s="35">
        <v>0.123839806158646</v>
      </c>
      <c r="BN82" s="21">
        <v>61.5073555213948</v>
      </c>
      <c r="BO82" s="25">
        <v>0.123685883136639</v>
      </c>
      <c r="BP82" s="21">
        <v>46.8599841728008</v>
      </c>
      <c r="BQ82" s="25">
        <v>0.12383592290915101</v>
      </c>
      <c r="BR82" s="21">
        <v>73.136283136485005</v>
      </c>
      <c r="BS82" s="25">
        <v>0.12370307723122199</v>
      </c>
      <c r="BT82" s="32">
        <v>74.155438241881299</v>
      </c>
      <c r="BV82" s="37">
        <f>14268508/1000000</f>
        <v>14.268508000000001</v>
      </c>
      <c r="BW82" s="1">
        <v>1000</v>
      </c>
      <c r="BX82" s="1">
        <v>750</v>
      </c>
      <c r="BY82" s="21">
        <v>12.822924414529</v>
      </c>
      <c r="BZ82" s="21">
        <v>57.527877540001597</v>
      </c>
      <c r="CA82" s="45">
        <v>9.4053452232678401E-6</v>
      </c>
      <c r="CB82" s="45">
        <v>6.0907001847443796E-3</v>
      </c>
      <c r="CC82" s="45">
        <v>1.4626180642023399E-4</v>
      </c>
      <c r="CD82" s="45">
        <v>4.5979177872859699E-4</v>
      </c>
      <c r="CE82" s="45">
        <v>3.3556386140770101E-4</v>
      </c>
      <c r="CF82" s="45">
        <v>3.4644574961931797E-4</v>
      </c>
      <c r="CG82" s="23"/>
      <c r="CH82" s="21">
        <v>14.1271858215332</v>
      </c>
      <c r="CI82" s="21"/>
      <c r="CJ82" s="38"/>
      <c r="CL82" s="88">
        <v>21.0981835730631</v>
      </c>
      <c r="CM82" s="1">
        <v>-215.95325670916699</v>
      </c>
      <c r="CN82" s="20">
        <v>27.315910850152001</v>
      </c>
    </row>
    <row r="83" spans="2:92" s="1" customFormat="1" x14ac:dyDescent="0.25">
      <c r="B83" s="2" t="s">
        <v>299</v>
      </c>
      <c r="C83" s="1" t="s">
        <v>288</v>
      </c>
      <c r="D83" s="14"/>
      <c r="E83" s="19">
        <v>34.799999999999997</v>
      </c>
      <c r="F83" s="1">
        <v>57.8</v>
      </c>
      <c r="G83" s="21">
        <v>8.8499999999999908</v>
      </c>
      <c r="H83" s="21">
        <v>1.78</v>
      </c>
      <c r="I83" s="21">
        <v>2.4009999999999998</v>
      </c>
      <c r="J83" s="21">
        <v>2.3420000000000001</v>
      </c>
      <c r="K83" s="21">
        <f t="shared" si="24"/>
        <v>0.85574800285508779</v>
      </c>
      <c r="L83" s="1">
        <v>37.164999999999999</v>
      </c>
      <c r="M83" s="14">
        <v>11</v>
      </c>
      <c r="N83" s="24">
        <v>104.912858452205</v>
      </c>
      <c r="O83" s="23">
        <v>-36.5213930951289</v>
      </c>
      <c r="P83" s="23">
        <v>204.74774518865101</v>
      </c>
      <c r="Q83" s="23">
        <f t="shared" si="22"/>
        <v>60.995675038915941</v>
      </c>
      <c r="R83" s="23">
        <f t="shared" si="23"/>
        <v>143.75207014973509</v>
      </c>
      <c r="S83" s="25">
        <f t="shared" si="25"/>
        <v>1.9515981950098866</v>
      </c>
      <c r="T83" s="21">
        <v>5.4550913295057999</v>
      </c>
      <c r="U83" s="21">
        <v>-23.840641265410699</v>
      </c>
      <c r="V83" s="21">
        <v>-7.3916079020242398</v>
      </c>
      <c r="W83" s="21">
        <f t="shared" si="29"/>
        <v>56.709293277379814</v>
      </c>
      <c r="X83" s="32">
        <f t="shared" si="21"/>
        <v>29.790645549095345</v>
      </c>
      <c r="Y83" s="35">
        <f t="shared" si="28"/>
        <v>1.4155892521801987</v>
      </c>
      <c r="Z83" s="25">
        <f t="shared" si="15"/>
        <v>-0.49278317551194323</v>
      </c>
      <c r="AA83" s="25">
        <f t="shared" si="26"/>
        <v>2.7626614294302714</v>
      </c>
      <c r="AB83" s="25">
        <f t="shared" si="30"/>
        <v>7.3605550069229878E-2</v>
      </c>
      <c r="AC83" s="25">
        <f t="shared" si="27"/>
        <v>-0.32168178465725344</v>
      </c>
      <c r="AD83" s="34">
        <f t="shared" ref="AD83:AD124" si="31">IF(OR(ISERROR($V83/$M83)),"",($V83*2)/(1.225*($M83^2)))</f>
        <v>-9.9734969162074402E-2</v>
      </c>
      <c r="AE83" s="2"/>
      <c r="AF83" s="24">
        <v>4.6486237667134498</v>
      </c>
      <c r="AG83" s="23">
        <v>35.147782252995398</v>
      </c>
      <c r="AH83" s="23">
        <v>3.0040699956655201</v>
      </c>
      <c r="AI83" s="23">
        <v>19.2843975695822</v>
      </c>
      <c r="AJ83" s="23">
        <v>7.0183354093361299</v>
      </c>
      <c r="AK83" s="23">
        <v>47.198798181145897</v>
      </c>
      <c r="AL83" s="23">
        <v>40.707630841541899</v>
      </c>
      <c r="AM83" s="23">
        <v>67.041374514154398</v>
      </c>
      <c r="AN83" s="23">
        <v>7.18327054997871</v>
      </c>
      <c r="AO83" s="23">
        <v>12.154245126393199</v>
      </c>
      <c r="AP83" s="23">
        <v>6.9989388542049902</v>
      </c>
      <c r="AQ83" s="23">
        <v>11.251808245037299</v>
      </c>
      <c r="AR83" s="23">
        <v>2.6300806089301298</v>
      </c>
      <c r="AS83" s="23">
        <v>20.9366890011866</v>
      </c>
      <c r="AT83" s="23">
        <v>13.5830723641077</v>
      </c>
      <c r="AU83" s="23">
        <v>5.5551463867326101</v>
      </c>
      <c r="AV83" s="23">
        <v>2.8212295014031699</v>
      </c>
      <c r="AW83" s="23">
        <v>-1.6119989304512199</v>
      </c>
      <c r="AX83" s="23">
        <v>4.7461265341327401</v>
      </c>
      <c r="AY83" s="23">
        <v>-2.38176127138845</v>
      </c>
      <c r="AZ83" s="23">
        <v>4.0746657689329</v>
      </c>
      <c r="BA83" s="23">
        <v>-2.1016927122101898</v>
      </c>
      <c r="BB83" s="23">
        <v>1.9864566463856099</v>
      </c>
      <c r="BC83" s="23">
        <v>-0.99490439309120404</v>
      </c>
      <c r="BD83" s="23">
        <v>1.73543265560523</v>
      </c>
      <c r="BE83" s="23">
        <v>-0.29913671913224499</v>
      </c>
      <c r="BF83" s="23">
        <v>1.72444972479103</v>
      </c>
      <c r="BG83" s="23">
        <v>0.129341840544305</v>
      </c>
      <c r="BH83" s="23">
        <v>0.38848065581646601</v>
      </c>
      <c r="BI83" s="23">
        <v>-0.29639140862127999</v>
      </c>
      <c r="BJ83" s="23">
        <v>0.23614504458607399</v>
      </c>
      <c r="BK83" s="36">
        <v>-3.5653408342831198E-2</v>
      </c>
      <c r="BL83" s="2"/>
      <c r="BM83" s="35">
        <v>0.123604744098725</v>
      </c>
      <c r="BN83" s="21">
        <v>50.110953052212899</v>
      </c>
      <c r="BO83" s="25">
        <v>0.124218149755721</v>
      </c>
      <c r="BP83" s="21">
        <v>50.766645928535702</v>
      </c>
      <c r="BQ83" s="25">
        <v>0.123618105200484</v>
      </c>
      <c r="BR83" s="21">
        <v>73.7386045388578</v>
      </c>
      <c r="BS83" s="25">
        <v>0.124216347158865</v>
      </c>
      <c r="BT83" s="32">
        <v>72.594886948670506</v>
      </c>
      <c r="BV83" s="37">
        <f>14346012/1000000</f>
        <v>14.346012</v>
      </c>
      <c r="BW83" s="1">
        <v>1000</v>
      </c>
      <c r="BX83" s="1">
        <v>750</v>
      </c>
      <c r="BY83" s="21">
        <v>12.1918525468068</v>
      </c>
      <c r="BZ83" s="21">
        <v>48.2887833480127</v>
      </c>
      <c r="CA83" s="45">
        <v>9.1473042368832302E-6</v>
      </c>
      <c r="CB83" s="45">
        <v>5.4935863660543899E-3</v>
      </c>
      <c r="CC83" s="45">
        <v>1.47654581118098E-4</v>
      </c>
      <c r="CD83" s="45">
        <v>4.4548644681516401E-4</v>
      </c>
      <c r="CE83" s="45">
        <v>2.9992892849303097E-4</v>
      </c>
      <c r="CF83" s="45">
        <v>3.79860811835926E-4</v>
      </c>
      <c r="CG83" s="23"/>
      <c r="CH83" s="21">
        <v>14.187744140625</v>
      </c>
      <c r="CI83" s="21"/>
      <c r="CJ83" s="38"/>
      <c r="CL83" s="88">
        <v>16.4845520442347</v>
      </c>
      <c r="CM83" s="1">
        <v>-221.37818803059201</v>
      </c>
      <c r="CN83" s="20">
        <v>22.192181360753899</v>
      </c>
    </row>
    <row r="84" spans="2:92" s="1" customFormat="1" x14ac:dyDescent="0.25">
      <c r="B84" s="2" t="s">
        <v>300</v>
      </c>
      <c r="C84" s="1" t="s">
        <v>289</v>
      </c>
      <c r="D84" s="14"/>
      <c r="E84" s="19">
        <v>54.8</v>
      </c>
      <c r="F84" s="1">
        <v>35</v>
      </c>
      <c r="G84" s="21">
        <v>14.849999999999948</v>
      </c>
      <c r="H84" s="21">
        <v>1.94</v>
      </c>
      <c r="I84" s="21">
        <v>1.3839999999999999</v>
      </c>
      <c r="J84" s="21">
        <v>1.3640000000000001</v>
      </c>
      <c r="K84" s="21">
        <f t="shared" si="24"/>
        <v>-0.73668031955626967</v>
      </c>
      <c r="L84" s="1">
        <v>64.510000000000005</v>
      </c>
      <c r="M84" s="14">
        <v>11</v>
      </c>
      <c r="N84" s="24">
        <v>92.574488034593998</v>
      </c>
      <c r="O84" s="23">
        <v>-62.812010129434697</v>
      </c>
      <c r="P84" s="23">
        <v>169.70401304869</v>
      </c>
      <c r="Q84" s="23">
        <f t="shared" si="22"/>
        <v>39.05822199611211</v>
      </c>
      <c r="R84" s="23">
        <f t="shared" si="23"/>
        <v>130.64579105257789</v>
      </c>
      <c r="S84" s="25">
        <f t="shared" si="25"/>
        <v>1.8331617776300702</v>
      </c>
      <c r="T84" s="21">
        <v>9.8085458439915492</v>
      </c>
      <c r="U84" s="21">
        <v>-35.769984104561999</v>
      </c>
      <c r="V84" s="21">
        <v>-8.9606453624760203</v>
      </c>
      <c r="W84" s="21">
        <f t="shared" si="29"/>
        <v>64.131355522131017</v>
      </c>
      <c r="X84" s="32">
        <f t="shared" si="21"/>
        <v>23.015496978793223</v>
      </c>
      <c r="Y84" s="35">
        <f t="shared" si="28"/>
        <v>1.2491076138923121</v>
      </c>
      <c r="Z84" s="25">
        <f t="shared" si="15"/>
        <v>-0.84752248445855538</v>
      </c>
      <c r="AA84" s="25">
        <f t="shared" si="26"/>
        <v>2.2898163339340862</v>
      </c>
      <c r="AB84" s="25">
        <f t="shared" si="30"/>
        <v>0.13234671403597972</v>
      </c>
      <c r="AC84" s="25">
        <f t="shared" si="27"/>
        <v>-0.48264441362202049</v>
      </c>
      <c r="AD84" s="34">
        <f t="shared" si="31"/>
        <v>-0.12090599240986363</v>
      </c>
      <c r="AE84" s="2"/>
      <c r="AF84" s="24">
        <v>4.3720858872124504</v>
      </c>
      <c r="AG84" s="23">
        <v>32.136636084022498</v>
      </c>
      <c r="AH84" s="23">
        <v>3.1349442024177798</v>
      </c>
      <c r="AI84" s="23">
        <v>18.821598623718501</v>
      </c>
      <c r="AJ84" s="23">
        <v>5.36533608464023</v>
      </c>
      <c r="AK84" s="23">
        <v>33.231503245191398</v>
      </c>
      <c r="AL84" s="23">
        <v>31.871515676452599</v>
      </c>
      <c r="AM84" s="23">
        <v>51.137130533246797</v>
      </c>
      <c r="AN84" s="23">
        <v>6.6620230622354102</v>
      </c>
      <c r="AO84" s="23">
        <v>11.092435333195899</v>
      </c>
      <c r="AP84" s="23">
        <v>6.7785937844811297</v>
      </c>
      <c r="AQ84" s="23">
        <v>12.938015512431701</v>
      </c>
      <c r="AR84" s="23">
        <v>2.1680447074043299</v>
      </c>
      <c r="AS84" s="23">
        <v>23.135081668593902</v>
      </c>
      <c r="AT84" s="23">
        <v>12.7634891584422</v>
      </c>
      <c r="AU84" s="23">
        <v>-0.22753695635015</v>
      </c>
      <c r="AV84" s="23">
        <v>2.78984982631281</v>
      </c>
      <c r="AW84" s="23">
        <v>-0.67831772142273905</v>
      </c>
      <c r="AX84" s="23">
        <v>4.9281291177379698</v>
      </c>
      <c r="AY84" s="23">
        <v>-2.7170832846789099</v>
      </c>
      <c r="AZ84" s="23">
        <v>4.4862720194825902</v>
      </c>
      <c r="BA84" s="23">
        <v>-1.57172114287304</v>
      </c>
      <c r="BB84" s="23">
        <v>2.1090822462916901</v>
      </c>
      <c r="BC84" s="23">
        <v>-0.73143688850816602</v>
      </c>
      <c r="BD84" s="23">
        <v>1.57196415839272</v>
      </c>
      <c r="BE84" s="23">
        <v>-0.132992895596098</v>
      </c>
      <c r="BF84" s="23">
        <v>1.7586309727871201</v>
      </c>
      <c r="BG84" s="23">
        <v>-9.0212576041246703E-2</v>
      </c>
      <c r="BH84" s="23">
        <v>0.45446993576366201</v>
      </c>
      <c r="BI84" s="23">
        <v>-0.19160421079062701</v>
      </c>
      <c r="BJ84" s="23">
        <v>9.6280944761369905E-2</v>
      </c>
      <c r="BK84" s="36">
        <v>-8.0628832949672796E-2</v>
      </c>
      <c r="BL84" s="2"/>
      <c r="BM84" s="35">
        <v>0.12560929411518101</v>
      </c>
      <c r="BN84" s="21">
        <v>60.910953304036298</v>
      </c>
      <c r="BO84" s="25">
        <v>0.12084802085131199</v>
      </c>
      <c r="BP84" s="21">
        <v>46.431988333613802</v>
      </c>
      <c r="BQ84" s="25">
        <v>0.12560899638468001</v>
      </c>
      <c r="BR84" s="21">
        <v>66.095169341123594</v>
      </c>
      <c r="BS84" s="25">
        <v>0.12087777536988099</v>
      </c>
      <c r="BT84" s="32">
        <v>80.760000949243903</v>
      </c>
      <c r="BV84" s="37">
        <f>14815957/1000000</f>
        <v>14.815956999999999</v>
      </c>
      <c r="BW84" s="1">
        <v>1000</v>
      </c>
      <c r="BX84" s="1">
        <v>750</v>
      </c>
      <c r="BY84" s="21">
        <v>10.1001327789443</v>
      </c>
      <c r="BZ84" s="21">
        <v>40.4011653700042</v>
      </c>
      <c r="CA84" s="45">
        <v>6.9706649908625704E-6</v>
      </c>
      <c r="CB84" s="45">
        <v>5.7206633739174803E-3</v>
      </c>
      <c r="CC84" s="45">
        <v>1.15941865048157E-4</v>
      </c>
      <c r="CD84" s="45">
        <v>3.66182921314621E-4</v>
      </c>
      <c r="CE84" s="45">
        <v>2.3928903979603201E-4</v>
      </c>
      <c r="CF84" s="45">
        <v>2.3785469539114001E-4</v>
      </c>
      <c r="CG84" s="23"/>
      <c r="CH84" s="21">
        <v>42.088699340820298</v>
      </c>
      <c r="CI84" s="21"/>
      <c r="CJ84" s="38"/>
      <c r="CL84" s="88">
        <v>28.777772903080798</v>
      </c>
      <c r="CM84" s="1">
        <v>-201.19451822097</v>
      </c>
      <c r="CN84" s="20">
        <v>41.919595322771201</v>
      </c>
    </row>
    <row r="85" spans="2:92" s="1" customFormat="1" x14ac:dyDescent="0.25">
      <c r="B85" s="2" t="s">
        <v>301</v>
      </c>
      <c r="C85" s="1" t="s">
        <v>290</v>
      </c>
      <c r="D85" s="14"/>
      <c r="E85" s="19">
        <v>42.8</v>
      </c>
      <c r="F85" s="1">
        <v>31.4</v>
      </c>
      <c r="G85" s="21">
        <v>1.0499999999999965</v>
      </c>
      <c r="H85" s="21">
        <v>1.02</v>
      </c>
      <c r="I85" s="21">
        <v>2.6589999999999998</v>
      </c>
      <c r="J85" s="21">
        <v>2.5880000000000001</v>
      </c>
      <c r="K85" s="21">
        <f t="shared" si="24"/>
        <v>-0.42414146237914918</v>
      </c>
      <c r="L85" s="1">
        <v>33.594000000000001</v>
      </c>
      <c r="M85" s="14">
        <v>11</v>
      </c>
      <c r="N85" s="24">
        <v>112.239082388265</v>
      </c>
      <c r="O85" s="23">
        <v>-1.7328844241222701</v>
      </c>
      <c r="P85" s="23">
        <v>254.465274144636</v>
      </c>
      <c r="Q85" s="23">
        <f t="shared" si="22"/>
        <v>80.651886066910663</v>
      </c>
      <c r="R85" s="23">
        <f t="shared" si="23"/>
        <v>173.81338807772534</v>
      </c>
      <c r="S85" s="25">
        <f t="shared" si="25"/>
        <v>2.2671717260158326</v>
      </c>
      <c r="T85" s="21">
        <v>0.51721839151085303</v>
      </c>
      <c r="U85" s="21">
        <v>-27.6493640903192</v>
      </c>
      <c r="V85" s="21">
        <v>-6.5434911340220401</v>
      </c>
      <c r="W85" s="21">
        <f t="shared" si="29"/>
        <v>50.340763420828736</v>
      </c>
      <c r="X85" s="32">
        <f t="shared" si="21"/>
        <v>31.694653165550903</v>
      </c>
      <c r="Y85" s="35">
        <f t="shared" si="28"/>
        <v>1.5144419954564343</v>
      </c>
      <c r="Z85" s="25">
        <f t="shared" ref="Z85:Z124" si="32">IF(OR(ISERROR($O85/$M85)),"",($O85*2)/(1.225*($M85^2)))</f>
        <v>-2.3381810411499677E-2</v>
      </c>
      <c r="AA85" s="25">
        <f t="shared" si="26"/>
        <v>3.4335000727898257</v>
      </c>
      <c r="AB85" s="25">
        <f t="shared" si="30"/>
        <v>6.9788280183619893E-3</v>
      </c>
      <c r="AC85" s="25">
        <f t="shared" si="27"/>
        <v>-0.37307288366091002</v>
      </c>
      <c r="AD85" s="34">
        <f t="shared" si="31"/>
        <v>-8.8291329182284217E-2</v>
      </c>
      <c r="AE85" s="2"/>
      <c r="AF85" s="24">
        <v>4.8743206135595498</v>
      </c>
      <c r="AG85" s="23">
        <v>40.6476357776749</v>
      </c>
      <c r="AH85" s="23">
        <v>3.9867954232782798</v>
      </c>
      <c r="AI85" s="23">
        <v>30.076148357790998</v>
      </c>
      <c r="AJ85" s="23">
        <v>7.4141602551826598</v>
      </c>
      <c r="AK85" s="23">
        <v>51.804500068336203</v>
      </c>
      <c r="AL85" s="23">
        <v>42.042021044958403</v>
      </c>
      <c r="AM85" s="23">
        <v>76.996051106141294</v>
      </c>
      <c r="AN85" s="23">
        <v>6.62614879468273</v>
      </c>
      <c r="AO85" s="23">
        <v>12.7944437106074</v>
      </c>
      <c r="AP85" s="23">
        <v>7.5876739160429603</v>
      </c>
      <c r="AQ85" s="23">
        <v>12.7321269982454</v>
      </c>
      <c r="AR85" s="23">
        <v>2.7480593793971702</v>
      </c>
      <c r="AS85" s="23">
        <v>30.8063435110307</v>
      </c>
      <c r="AT85" s="23">
        <v>14.2228218018167</v>
      </c>
      <c r="AU85" s="23">
        <v>12.873188075622201</v>
      </c>
      <c r="AV85" s="23">
        <v>3.76467984265738</v>
      </c>
      <c r="AW85" s="23">
        <v>-2.32962324644906</v>
      </c>
      <c r="AX85" s="23">
        <v>5.0833513572665803</v>
      </c>
      <c r="AY85" s="23">
        <v>-1.67680185117424</v>
      </c>
      <c r="AZ85" s="23">
        <v>3.0796539193138401</v>
      </c>
      <c r="BA85" s="23">
        <v>-1.9211275681217601</v>
      </c>
      <c r="BB85" s="23">
        <v>3.2839061440787098</v>
      </c>
      <c r="BC85" s="23">
        <v>-0.987467114380567</v>
      </c>
      <c r="BD85" s="23">
        <v>1.9029292971676099</v>
      </c>
      <c r="BE85" s="23">
        <v>-0.18866239674898799</v>
      </c>
      <c r="BF85" s="23">
        <v>1.94597752305816</v>
      </c>
      <c r="BG85" s="23">
        <v>-0.31469575450405302</v>
      </c>
      <c r="BH85" s="23">
        <v>0.67963806478177902</v>
      </c>
      <c r="BI85" s="23">
        <v>-0.22030841278468399</v>
      </c>
      <c r="BJ85" s="23">
        <v>0.38878263933790702</v>
      </c>
      <c r="BK85" s="36">
        <v>9.4286410966968298E-2</v>
      </c>
      <c r="BL85" s="2"/>
      <c r="BM85" s="35">
        <v>0.12455103996010999</v>
      </c>
      <c r="BN85" s="21">
        <v>46.5977090149769</v>
      </c>
      <c r="BO85" s="25">
        <v>0.12546251673988601</v>
      </c>
      <c r="BP85" s="21">
        <v>42.7292786734792</v>
      </c>
      <c r="BQ85" s="25">
        <v>0.12455388705909699</v>
      </c>
      <c r="BR85" s="21">
        <v>70.647474832905004</v>
      </c>
      <c r="BS85" s="25">
        <v>0.125449298419953</v>
      </c>
      <c r="BT85" s="32">
        <v>67.439125232643804</v>
      </c>
      <c r="BV85" s="37">
        <f>14388725/1000000</f>
        <v>14.388725000000001</v>
      </c>
      <c r="BW85" s="1">
        <v>1000</v>
      </c>
      <c r="BX85" s="1">
        <v>750</v>
      </c>
      <c r="BY85" s="21">
        <v>12.421041139613299</v>
      </c>
      <c r="BZ85" s="21">
        <v>49.098644185593301</v>
      </c>
      <c r="CA85" s="45">
        <v>1.0047603938302601E-5</v>
      </c>
      <c r="CB85" s="45">
        <v>5.77963144733298E-3</v>
      </c>
      <c r="CC85" s="45">
        <v>1.4566622887917399E-4</v>
      </c>
      <c r="CD85" s="45">
        <v>4.4356745454094001E-4</v>
      </c>
      <c r="CE85" s="45">
        <v>3.3427140922814901E-4</v>
      </c>
      <c r="CF85" s="45">
        <v>3.7433455793963502E-4</v>
      </c>
      <c r="CG85" s="23"/>
      <c r="CH85" s="21">
        <v>14.230598449706999</v>
      </c>
      <c r="CI85" s="21"/>
      <c r="CJ85" s="38"/>
      <c r="CL85" s="88">
        <v>1.0405494875957699</v>
      </c>
      <c r="CM85" s="1">
        <v>-267.67261763969702</v>
      </c>
      <c r="CN85" s="20">
        <v>-5.1397854351060603</v>
      </c>
    </row>
    <row r="86" spans="2:92" s="1" customFormat="1" x14ac:dyDescent="0.25">
      <c r="B86" s="2" t="s">
        <v>302</v>
      </c>
      <c r="C86" s="1" t="s">
        <v>291</v>
      </c>
      <c r="D86" s="14"/>
      <c r="E86" s="19">
        <v>53.2</v>
      </c>
      <c r="F86" s="1">
        <v>30.2</v>
      </c>
      <c r="G86" s="21">
        <v>7.0499999999999865</v>
      </c>
      <c r="H86" s="21">
        <v>0.18</v>
      </c>
      <c r="I86" s="21">
        <v>6.3120000000000003</v>
      </c>
      <c r="J86" s="21">
        <v>5.9329999999999998</v>
      </c>
      <c r="K86" s="21">
        <f t="shared" si="24"/>
        <v>-0.8557480028550879</v>
      </c>
      <c r="L86" s="1">
        <v>14.303000000000001</v>
      </c>
      <c r="M86" s="14">
        <v>11</v>
      </c>
      <c r="N86" s="24">
        <v>104.194769525658</v>
      </c>
      <c r="O86" s="23">
        <v>-28.186502055496199</v>
      </c>
      <c r="P86" s="23">
        <v>233.03095742308</v>
      </c>
      <c r="Q86" s="23">
        <f t="shared" si="22"/>
        <v>62.199763523027379</v>
      </c>
      <c r="R86" s="23">
        <f t="shared" si="23"/>
        <v>170.8311939000526</v>
      </c>
      <c r="S86" s="25">
        <f t="shared" si="25"/>
        <v>2.2364938133069723</v>
      </c>
      <c r="T86" s="21">
        <v>1.10297226605845</v>
      </c>
      <c r="U86" s="21">
        <v>-42.848821458340602</v>
      </c>
      <c r="V86" s="21">
        <v>-17.5951703938835</v>
      </c>
      <c r="W86" s="21">
        <f t="shared" si="29"/>
        <v>53.438490173561384</v>
      </c>
      <c r="X86" s="32">
        <f t="shared" si="21"/>
        <v>26.691631108093688</v>
      </c>
      <c r="Y86" s="35">
        <f t="shared" si="28"/>
        <v>1.4059000779309561</v>
      </c>
      <c r="Z86" s="25">
        <f t="shared" si="32"/>
        <v>-0.38032048649682837</v>
      </c>
      <c r="AA86" s="25">
        <f t="shared" si="26"/>
        <v>3.144286826420374</v>
      </c>
      <c r="AB86" s="25">
        <f t="shared" si="30"/>
        <v>1.4882405344016863E-2</v>
      </c>
      <c r="AC86" s="25">
        <f t="shared" si="27"/>
        <v>-0.57815916961835856</v>
      </c>
      <c r="AD86" s="34">
        <f t="shared" si="31"/>
        <v>-0.23741164302760664</v>
      </c>
      <c r="AE86" s="2"/>
      <c r="AF86" s="24">
        <v>4.5645748388767</v>
      </c>
      <c r="AG86" s="23">
        <v>40.347601749250302</v>
      </c>
      <c r="AH86" s="23">
        <v>3.48340033624436</v>
      </c>
      <c r="AI86" s="23">
        <v>26.173011661918999</v>
      </c>
      <c r="AJ86" s="23">
        <v>6.1875943933971396</v>
      </c>
      <c r="AK86" s="23">
        <v>41.238134624713503</v>
      </c>
      <c r="AL86" s="23">
        <v>38.873188849030498</v>
      </c>
      <c r="AM86" s="23">
        <v>67.157316120196299</v>
      </c>
      <c r="AN86" s="23">
        <v>6.9361723470966501</v>
      </c>
      <c r="AO86" s="23">
        <v>11.4626634003733</v>
      </c>
      <c r="AP86" s="23">
        <v>7.3101880355526703</v>
      </c>
      <c r="AQ86" s="23">
        <v>13.4325714881669</v>
      </c>
      <c r="AR86" s="23">
        <v>3.2236449735635002</v>
      </c>
      <c r="AS86" s="23">
        <v>36.952192002668497</v>
      </c>
      <c r="AT86" s="23">
        <v>13.467385503642101</v>
      </c>
      <c r="AU86" s="23">
        <v>9.7622912203151007</v>
      </c>
      <c r="AV86" s="23">
        <v>2.3823789822646999</v>
      </c>
      <c r="AW86" s="23">
        <v>-1.3416532105091299</v>
      </c>
      <c r="AX86" s="23">
        <v>6.0505961874148797</v>
      </c>
      <c r="AY86" s="23">
        <v>-1.45105814962015</v>
      </c>
      <c r="AZ86" s="23">
        <v>3.5513772338698599</v>
      </c>
      <c r="BA86" s="23">
        <v>-1.7872992995604999</v>
      </c>
      <c r="BB86" s="23">
        <v>2.2867111578641399</v>
      </c>
      <c r="BC86" s="23">
        <v>-1.4060230858809899</v>
      </c>
      <c r="BD86" s="23">
        <v>1.7313167741725</v>
      </c>
      <c r="BE86" s="23">
        <v>-0.28374631500640102</v>
      </c>
      <c r="BF86" s="23">
        <v>2.1482238812126502</v>
      </c>
      <c r="BG86" s="23">
        <v>-0.36470451134299398</v>
      </c>
      <c r="BH86" s="23">
        <v>0.43821892665940798</v>
      </c>
      <c r="BI86" s="23">
        <v>-0.21017778831027301</v>
      </c>
      <c r="BJ86" s="23">
        <v>0.19038660408449801</v>
      </c>
      <c r="BK86" s="36">
        <v>2.11297349578113E-2</v>
      </c>
      <c r="BL86" s="2"/>
      <c r="BM86" s="35">
        <v>0.12457263420383299</v>
      </c>
      <c r="BN86" s="21">
        <v>51.0211054996619</v>
      </c>
      <c r="BO86" s="25">
        <v>0.124970696044957</v>
      </c>
      <c r="BP86" s="21">
        <v>57.862273038381701</v>
      </c>
      <c r="BQ86" s="25">
        <v>0.124560528958852</v>
      </c>
      <c r="BR86" s="21">
        <v>70.2671347566327</v>
      </c>
      <c r="BS86" s="25">
        <v>0.124912366945482</v>
      </c>
      <c r="BT86" s="32">
        <v>70.108574888518504</v>
      </c>
      <c r="BV86" s="37">
        <f>14269096/1000000</f>
        <v>14.269095999999999</v>
      </c>
      <c r="BW86" s="1">
        <v>1000</v>
      </c>
      <c r="BX86" s="1">
        <v>750</v>
      </c>
      <c r="BY86" s="21">
        <v>12.964120586277501</v>
      </c>
      <c r="BZ86" s="21">
        <v>58.107285878798599</v>
      </c>
      <c r="CA86" s="45">
        <v>9.6512140095976998E-6</v>
      </c>
      <c r="CB86" s="45">
        <v>6.2079756393071204E-3</v>
      </c>
      <c r="CC86" s="45">
        <v>1.34035801712123E-4</v>
      </c>
      <c r="CD86" s="45">
        <v>3.5796597013483902E-4</v>
      </c>
      <c r="CE86" s="45">
        <v>3.6522032259419401E-4</v>
      </c>
      <c r="CF86" s="45">
        <v>3.2738163941966599E-4</v>
      </c>
      <c r="CG86" s="23"/>
      <c r="CH86" s="21">
        <v>14.1261596679687</v>
      </c>
      <c r="CI86" s="21"/>
      <c r="CJ86" s="38"/>
      <c r="CL86" s="88">
        <v>9.6152958868183394</v>
      </c>
      <c r="CM86" s="1">
        <v>-263.08003860608102</v>
      </c>
      <c r="CN86" s="20">
        <v>5.2370237311506802</v>
      </c>
    </row>
    <row r="87" spans="2:92" s="1" customFormat="1" x14ac:dyDescent="0.25">
      <c r="B87" s="2" t="s">
        <v>303</v>
      </c>
      <c r="C87" s="1" t="s">
        <v>292</v>
      </c>
      <c r="D87" s="14"/>
      <c r="E87" s="19">
        <v>41.2</v>
      </c>
      <c r="F87" s="1">
        <v>68.599999999999994</v>
      </c>
      <c r="G87" s="21">
        <v>1.3499999999999972</v>
      </c>
      <c r="H87" s="21">
        <v>0.3</v>
      </c>
      <c r="I87" s="21">
        <v>4.7309999999999999</v>
      </c>
      <c r="J87" s="21">
        <v>4.5140000000000002</v>
      </c>
      <c r="K87" s="21">
        <f t="shared" si="24"/>
        <v>1.0194722073437503</v>
      </c>
      <c r="L87" s="1">
        <v>18.991</v>
      </c>
      <c r="M87" s="14">
        <v>11</v>
      </c>
      <c r="N87" s="24">
        <v>116.32574005163499</v>
      </c>
      <c r="O87" s="23">
        <v>3.1004419565610699</v>
      </c>
      <c r="P87" s="23">
        <v>268.91947871950799</v>
      </c>
      <c r="Q87" s="23">
        <f t="shared" si="22"/>
        <v>102.66866909595861</v>
      </c>
      <c r="R87" s="23">
        <f t="shared" si="23"/>
        <v>166.25080962354937</v>
      </c>
      <c r="S87" s="25">
        <f t="shared" si="25"/>
        <v>2.3117796508334205</v>
      </c>
      <c r="T87" s="21">
        <v>5.8793057721466697</v>
      </c>
      <c r="U87" s="21">
        <v>-3.0603387827223698</v>
      </c>
      <c r="V87" s="21">
        <v>-13.8832237872705</v>
      </c>
      <c r="W87" s="21">
        <f t="shared" si="29"/>
        <v>51.531738646825239</v>
      </c>
      <c r="X87" s="32">
        <f t="shared" si="21"/>
        <v>38.178219586334045</v>
      </c>
      <c r="Y87" s="35">
        <f t="shared" si="28"/>
        <v>1.5695832693760834</v>
      </c>
      <c r="Z87" s="25">
        <f t="shared" si="32"/>
        <v>4.1834264888663444E-2</v>
      </c>
      <c r="AA87" s="25">
        <f t="shared" si="26"/>
        <v>3.6285306624322207</v>
      </c>
      <c r="AB87" s="25">
        <f t="shared" si="30"/>
        <v>7.9329475758430343E-2</v>
      </c>
      <c r="AC87" s="25">
        <f t="shared" si="27"/>
        <v>-4.1293152743766159E-2</v>
      </c>
      <c r="AD87" s="34">
        <f t="shared" si="31"/>
        <v>-0.18732634558637878</v>
      </c>
      <c r="AE87" s="2"/>
      <c r="AF87" s="24">
        <v>4.9526984051638996</v>
      </c>
      <c r="AG87" s="23">
        <v>39.1807270399472</v>
      </c>
      <c r="AH87" s="23">
        <v>4.9197549810652799</v>
      </c>
      <c r="AI87" s="23">
        <v>45.6918220996779</v>
      </c>
      <c r="AJ87" s="23">
        <v>7.8612997486737104</v>
      </c>
      <c r="AK87" s="23">
        <v>58.958569707638198</v>
      </c>
      <c r="AL87" s="23">
        <v>45.894638309922499</v>
      </c>
      <c r="AM87" s="23">
        <v>76.744880881797897</v>
      </c>
      <c r="AN87" s="23">
        <v>7.46372453215732</v>
      </c>
      <c r="AO87" s="23">
        <v>13.5421856249515</v>
      </c>
      <c r="AP87" s="23">
        <v>7.7050317887770996</v>
      </c>
      <c r="AQ87" s="23">
        <v>13.236181843208399</v>
      </c>
      <c r="AR87" s="23">
        <v>2.4975855174120398</v>
      </c>
      <c r="AS87" s="23">
        <v>17.816897947211601</v>
      </c>
      <c r="AT87" s="23">
        <v>14.6517935152647</v>
      </c>
      <c r="AU87" s="23">
        <v>17.256103685187998</v>
      </c>
      <c r="AV87" s="23">
        <v>2.5790953075332501</v>
      </c>
      <c r="AW87" s="23">
        <v>-1.7384420811418499</v>
      </c>
      <c r="AX87" s="23">
        <v>4.5760138982890304</v>
      </c>
      <c r="AY87" s="23">
        <v>-2.09322479369547</v>
      </c>
      <c r="AZ87" s="23">
        <v>3.1938497375004098</v>
      </c>
      <c r="BA87" s="23">
        <v>-1.7580206562890699</v>
      </c>
      <c r="BB87" s="23">
        <v>3.2027670170329001</v>
      </c>
      <c r="BC87" s="23">
        <v>-1.7039004192192899</v>
      </c>
      <c r="BD87" s="23">
        <v>1.6631290697322501</v>
      </c>
      <c r="BE87" s="23">
        <v>-0.18854623357234801</v>
      </c>
      <c r="BF87" s="23">
        <v>1.88469217940782</v>
      </c>
      <c r="BG87" s="23">
        <v>0.16113084278912199</v>
      </c>
      <c r="BH87" s="23">
        <v>0.43064722526712201</v>
      </c>
      <c r="BI87" s="23">
        <v>-0.199360801083039</v>
      </c>
      <c r="BJ87" s="23">
        <v>0.60778467943256897</v>
      </c>
      <c r="BK87" s="36">
        <v>-3.7605518093783798E-2</v>
      </c>
      <c r="BL87" s="2"/>
      <c r="BM87" s="35">
        <v>0.123779052046371</v>
      </c>
      <c r="BN87" s="21">
        <v>45.953701621445603</v>
      </c>
      <c r="BO87" s="25">
        <v>0.124226434632996</v>
      </c>
      <c r="BP87" s="21">
        <v>47.677839418437799</v>
      </c>
      <c r="BQ87" s="25">
        <v>0.123801547658577</v>
      </c>
      <c r="BR87" s="21">
        <v>73.321907989949906</v>
      </c>
      <c r="BS87" s="25">
        <v>0.12424893014756699</v>
      </c>
      <c r="BT87" s="32">
        <v>72.007277665100403</v>
      </c>
      <c r="BV87" s="37">
        <f>14076740/1000000</f>
        <v>14.076739999999999</v>
      </c>
      <c r="BW87" s="1">
        <v>1000</v>
      </c>
      <c r="BX87" s="1">
        <v>750</v>
      </c>
      <c r="BY87" s="21">
        <v>9.7742700521940193</v>
      </c>
      <c r="BZ87" s="21">
        <v>39.2173288967888</v>
      </c>
      <c r="CA87" s="45">
        <v>1.01956880930692E-5</v>
      </c>
      <c r="CB87" s="45">
        <v>5.2420593460179897E-3</v>
      </c>
      <c r="CC87" s="45">
        <v>1.2757857873106499E-4</v>
      </c>
      <c r="CD87" s="45">
        <v>3.7337579951267802E-4</v>
      </c>
      <c r="CE87" s="45">
        <v>3.7996482025466399E-4</v>
      </c>
      <c r="CF87" s="45">
        <v>3.3522538169562002E-4</v>
      </c>
      <c r="CG87" s="23"/>
      <c r="CH87" s="21">
        <v>32.585113525390597</v>
      </c>
      <c r="CI87" s="21"/>
      <c r="CJ87" s="38"/>
      <c r="CL87" s="88">
        <v>4.9429723012652396</v>
      </c>
      <c r="CM87" s="1">
        <v>-256.02624682026601</v>
      </c>
      <c r="CN87" s="20">
        <v>-16.394705789763201</v>
      </c>
    </row>
    <row r="88" spans="2:92" s="1" customFormat="1" x14ac:dyDescent="0.25">
      <c r="B88" s="2" t="s">
        <v>304</v>
      </c>
      <c r="C88" s="1" t="s">
        <v>293</v>
      </c>
      <c r="D88" s="14"/>
      <c r="E88" s="19">
        <v>22</v>
      </c>
      <c r="F88" s="1">
        <v>26.6</v>
      </c>
      <c r="G88" s="21">
        <v>14.549999999999947</v>
      </c>
      <c r="H88" s="21">
        <v>0.78</v>
      </c>
      <c r="I88" s="21">
        <v>12.307</v>
      </c>
      <c r="J88" s="21">
        <v>10.936999999999999</v>
      </c>
      <c r="K88" s="21">
        <f t="shared" si="24"/>
        <v>0.17114349200465914</v>
      </c>
      <c r="L88" s="1">
        <v>7.4560000000000004</v>
      </c>
      <c r="M88" s="14">
        <v>11</v>
      </c>
      <c r="N88" s="24">
        <v>91.782845451187697</v>
      </c>
      <c r="O88" s="23">
        <v>-45.8415961361274</v>
      </c>
      <c r="P88" s="23">
        <v>176.290423785244</v>
      </c>
      <c r="Q88" s="23">
        <f t="shared" si="22"/>
        <v>44.898841256381665</v>
      </c>
      <c r="R88" s="23">
        <f t="shared" si="23"/>
        <v>131.39158252886233</v>
      </c>
      <c r="S88" s="25">
        <f t="shared" si="25"/>
        <v>1.9207339118615521</v>
      </c>
      <c r="T88" s="21">
        <v>3.8144457116489798</v>
      </c>
      <c r="U88" s="21">
        <v>-31.822322885190001</v>
      </c>
      <c r="V88" s="21">
        <v>-36.281336797625599</v>
      </c>
      <c r="W88" s="21">
        <f t="shared" si="29"/>
        <v>58.347309024506359</v>
      </c>
      <c r="X88" s="32">
        <f t="shared" ref="X88:X124" si="33">IF(OR(ISERROR(100-(-$CM88*100)/(1.54*$P88)),$CM88=0),"",100-(-$CM88*100)/(1.54*$P88))</f>
        <v>25.468678497861674</v>
      </c>
      <c r="Y88" s="35">
        <f t="shared" si="28"/>
        <v>1.2384259801138497</v>
      </c>
      <c r="Z88" s="25">
        <f t="shared" si="32"/>
        <v>-0.61854067986004246</v>
      </c>
      <c r="AA88" s="25">
        <f t="shared" si="26"/>
        <v>2.3786867773350511</v>
      </c>
      <c r="AB88" s="25">
        <f t="shared" si="30"/>
        <v>5.1468317917341598E-2</v>
      </c>
      <c r="AC88" s="25">
        <f t="shared" si="27"/>
        <v>-0.4293786187915668</v>
      </c>
      <c r="AD88" s="34">
        <f t="shared" si="31"/>
        <v>-0.48954409576826574</v>
      </c>
      <c r="AE88" s="2"/>
      <c r="AF88" s="24">
        <v>4.0647735817354302</v>
      </c>
      <c r="AG88" s="23">
        <v>28.5721744295133</v>
      </c>
      <c r="AH88" s="23">
        <v>2.4411266694962301</v>
      </c>
      <c r="AI88" s="23">
        <v>14.889204143272</v>
      </c>
      <c r="AJ88" s="23">
        <v>7.0860194131771301</v>
      </c>
      <c r="AK88" s="23">
        <v>40.452112399156</v>
      </c>
      <c r="AL88" s="23">
        <v>36.516022545419702</v>
      </c>
      <c r="AM88" s="23">
        <v>59.301767165797102</v>
      </c>
      <c r="AN88" s="23">
        <v>6.1613616086856799</v>
      </c>
      <c r="AO88" s="23">
        <v>10.48479393385</v>
      </c>
      <c r="AP88" s="23">
        <v>6.6988412173991598</v>
      </c>
      <c r="AQ88" s="23">
        <v>12.633784527935701</v>
      </c>
      <c r="AR88" s="23">
        <v>1.8883747233133601</v>
      </c>
      <c r="AS88" s="23">
        <v>21.8702862097715</v>
      </c>
      <c r="AT88" s="23">
        <v>10.7176358661062</v>
      </c>
      <c r="AU88" s="23">
        <v>-1.54423802650025</v>
      </c>
      <c r="AV88" s="23">
        <v>2.57693271134722</v>
      </c>
      <c r="AW88" s="23">
        <v>-0.54801123118434003</v>
      </c>
      <c r="AX88" s="23">
        <v>3.1623280043889999</v>
      </c>
      <c r="AY88" s="23">
        <v>-2.1653308353904399</v>
      </c>
      <c r="AZ88" s="23">
        <v>3.6125209780443899</v>
      </c>
      <c r="BA88" s="23">
        <v>-1.5023879470419299</v>
      </c>
      <c r="BB88" s="23">
        <v>2.6024388748735401</v>
      </c>
      <c r="BC88" s="23">
        <v>-0.46609451159714299</v>
      </c>
      <c r="BD88" s="23">
        <v>1.54037348160708</v>
      </c>
      <c r="BE88" s="23">
        <v>-4.8535907994223498E-2</v>
      </c>
      <c r="BF88" s="23">
        <v>1.09885476890464</v>
      </c>
      <c r="BG88" s="23">
        <v>-0.21292162430612399</v>
      </c>
      <c r="BH88" s="23">
        <v>0.26159793009730897</v>
      </c>
      <c r="BI88" s="23">
        <v>-8.7607531732642505E-2</v>
      </c>
      <c r="BJ88" s="23">
        <v>0.19221539759077799</v>
      </c>
      <c r="BK88" s="36">
        <v>4.2043167171765101E-2</v>
      </c>
      <c r="BL88" s="2"/>
      <c r="BM88" s="35">
        <v>0.123932986303358</v>
      </c>
      <c r="BN88" s="21">
        <v>55.355449333619603</v>
      </c>
      <c r="BO88" s="25">
        <v>0.12231985455479601</v>
      </c>
      <c r="BP88" s="21">
        <v>49.033199619550899</v>
      </c>
      <c r="BQ88" s="25">
        <v>0.123963285765793</v>
      </c>
      <c r="BR88" s="21">
        <v>72.714453915819405</v>
      </c>
      <c r="BS88" s="25">
        <v>0.122294784569436</v>
      </c>
      <c r="BT88" s="32">
        <v>80.630275241732406</v>
      </c>
      <c r="BV88" s="37">
        <f>14419226/1000000</f>
        <v>14.419226</v>
      </c>
      <c r="BW88" s="1">
        <v>1000</v>
      </c>
      <c r="BX88" s="1">
        <v>750</v>
      </c>
      <c r="BY88" s="21">
        <v>9.5749317067497408</v>
      </c>
      <c r="BZ88" s="21">
        <v>38.162181940790198</v>
      </c>
      <c r="CA88" s="45">
        <v>8.4536597231729198E-6</v>
      </c>
      <c r="CB88" s="45">
        <v>6.1268270125469501E-3</v>
      </c>
      <c r="CC88" s="45">
        <v>1.31076133875162E-4</v>
      </c>
      <c r="CD88" s="45">
        <v>3.6208974676488702E-4</v>
      </c>
      <c r="CE88" s="45">
        <v>3.6719063545641398E-4</v>
      </c>
      <c r="CF88" s="45">
        <v>3.2507659227139798E-4</v>
      </c>
      <c r="CG88" s="23"/>
      <c r="CH88" s="21">
        <v>33.512241363525298</v>
      </c>
      <c r="CI88" s="21"/>
      <c r="CJ88" s="38"/>
      <c r="CL88" s="88">
        <v>17.658607744759401</v>
      </c>
      <c r="CM88" s="1">
        <v>-202.34303709444799</v>
      </c>
      <c r="CN88" s="20">
        <v>0.85218973648306595</v>
      </c>
    </row>
    <row r="89" spans="2:92" s="1" customFormat="1" x14ac:dyDescent="0.25">
      <c r="B89" s="2" t="s">
        <v>305</v>
      </c>
      <c r="C89" s="1" t="s">
        <v>294</v>
      </c>
      <c r="D89" s="14"/>
      <c r="E89" s="19">
        <v>58.8</v>
      </c>
      <c r="F89" s="1">
        <v>79.400000000000006</v>
      </c>
      <c r="G89" s="21">
        <v>0.44999999999999984</v>
      </c>
      <c r="H89" s="21">
        <v>1.82</v>
      </c>
      <c r="I89" s="21">
        <v>6.5819999999999999</v>
      </c>
      <c r="J89" s="21">
        <v>6.1710000000000003</v>
      </c>
      <c r="K89" s="21">
        <f t="shared" si="24"/>
        <v>0.76644692201783471</v>
      </c>
      <c r="L89" s="1">
        <v>13.728</v>
      </c>
      <c r="M89" s="14">
        <v>11</v>
      </c>
      <c r="N89" s="24">
        <v>117.35460406176701</v>
      </c>
      <c r="O89" s="23">
        <v>15.9492037967035</v>
      </c>
      <c r="P89" s="23">
        <v>249.13768439106099</v>
      </c>
      <c r="Q89" s="23">
        <f t="shared" si="22"/>
        <v>89.854513831020085</v>
      </c>
      <c r="R89" s="23">
        <f t="shared" si="23"/>
        <v>159.2831705600409</v>
      </c>
      <c r="S89" s="25">
        <f t="shared" si="25"/>
        <v>2.12294767966609</v>
      </c>
      <c r="T89" s="21">
        <v>3.18296478750023</v>
      </c>
      <c r="U89" s="21">
        <v>-8.0435023716744105</v>
      </c>
      <c r="V89" s="21">
        <v>-17.325895331410599</v>
      </c>
      <c r="W89" s="21">
        <f t="shared" si="29"/>
        <v>49.453550231639547</v>
      </c>
      <c r="X89" s="32">
        <f t="shared" si="33"/>
        <v>36.066207346608884</v>
      </c>
      <c r="Y89" s="35">
        <f t="shared" si="28"/>
        <v>1.5834657319853869</v>
      </c>
      <c r="Z89" s="25">
        <f t="shared" si="32"/>
        <v>0.21520261489901835</v>
      </c>
      <c r="AA89" s="25">
        <f t="shared" si="26"/>
        <v>3.3616149015491441</v>
      </c>
      <c r="AB89" s="25">
        <f t="shared" si="30"/>
        <v>4.294774548828105E-2</v>
      </c>
      <c r="AC89" s="25">
        <f t="shared" si="27"/>
        <v>-0.10853098157091462</v>
      </c>
      <c r="AD89" s="34">
        <f t="shared" si="31"/>
        <v>-0.23377831447340996</v>
      </c>
      <c r="AE89" s="2"/>
      <c r="AF89" s="24">
        <v>4.7592403794915699</v>
      </c>
      <c r="AG89" s="23">
        <v>33.214822994283402</v>
      </c>
      <c r="AH89" s="23">
        <v>5.0424910484723302</v>
      </c>
      <c r="AI89" s="23">
        <v>35.704595493914397</v>
      </c>
      <c r="AJ89" s="23">
        <v>7.9905042443023904</v>
      </c>
      <c r="AK89" s="23">
        <v>58.7932553151321</v>
      </c>
      <c r="AL89" s="23">
        <v>43.933514073043597</v>
      </c>
      <c r="AM89" s="23">
        <v>73.881264002342107</v>
      </c>
      <c r="AN89" s="23">
        <v>7.2243660076054397</v>
      </c>
      <c r="AO89" s="23">
        <v>13.3574340128273</v>
      </c>
      <c r="AP89" s="23">
        <v>7.8209555663077399</v>
      </c>
      <c r="AQ89" s="23">
        <v>14.129957016270099</v>
      </c>
      <c r="AR89" s="23">
        <v>2.9411446505382899</v>
      </c>
      <c r="AS89" s="23">
        <v>20.615840097020801</v>
      </c>
      <c r="AT89" s="23">
        <v>15.148300943240899</v>
      </c>
      <c r="AU89" s="23">
        <v>13.361200232688001</v>
      </c>
      <c r="AV89" s="23">
        <v>3.5276377215842998</v>
      </c>
      <c r="AW89" s="23">
        <v>-1.43138059556982</v>
      </c>
      <c r="AX89" s="23">
        <v>4.8751730723415498</v>
      </c>
      <c r="AY89" s="23">
        <v>-1.60985795532653</v>
      </c>
      <c r="AZ89" s="23">
        <v>3.7438415484488399</v>
      </c>
      <c r="BA89" s="23">
        <v>-2.0722743955997198</v>
      </c>
      <c r="BB89" s="23">
        <v>2.92422733508621</v>
      </c>
      <c r="BC89" s="23">
        <v>-1.31992168633983</v>
      </c>
      <c r="BD89" s="23">
        <v>1.95551883749758</v>
      </c>
      <c r="BE89" s="23">
        <v>-0.13112254700777701</v>
      </c>
      <c r="BF89" s="23">
        <v>2.0484707512698801</v>
      </c>
      <c r="BG89" s="23">
        <v>-0.40786326901723402</v>
      </c>
      <c r="BH89" s="23">
        <v>0.61585665552619695</v>
      </c>
      <c r="BI89" s="23">
        <v>-0.42427658158499698</v>
      </c>
      <c r="BJ89" s="23">
        <v>0.41067291504890102</v>
      </c>
      <c r="BK89" s="36">
        <v>1.4247023513008401E-2</v>
      </c>
      <c r="BL89" s="2"/>
      <c r="BM89" s="35">
        <v>0.124720548706691</v>
      </c>
      <c r="BN89" s="21">
        <v>43.333872057677702</v>
      </c>
      <c r="BO89" s="25">
        <v>0.12629944596440901</v>
      </c>
      <c r="BP89" s="21">
        <v>52.232233912050802</v>
      </c>
      <c r="BQ89" s="25">
        <v>0.124688538026914</v>
      </c>
      <c r="BR89" s="21">
        <v>70.140136818158396</v>
      </c>
      <c r="BS89" s="25">
        <v>0.12629196866339301</v>
      </c>
      <c r="BT89" s="32">
        <v>63.9778308827293</v>
      </c>
      <c r="BV89" s="37">
        <f>14455925/1000000</f>
        <v>14.455925000000001</v>
      </c>
      <c r="BW89" s="1">
        <v>1000</v>
      </c>
      <c r="BX89" s="1">
        <v>750</v>
      </c>
      <c r="BY89" s="21">
        <v>9.7639477909718693</v>
      </c>
      <c r="BZ89" s="21">
        <v>35.625058653996703</v>
      </c>
      <c r="CA89" s="45">
        <v>1.0083513068386801E-5</v>
      </c>
      <c r="CB89" s="45">
        <v>6.0209129473269198E-3</v>
      </c>
      <c r="CC89" s="45">
        <v>1.4238610130958801E-4</v>
      </c>
      <c r="CD89" s="45">
        <v>3.7581355546053701E-4</v>
      </c>
      <c r="CE89" s="45">
        <v>4.03438640841434E-4</v>
      </c>
      <c r="CF89" s="45">
        <v>3.6223604190543799E-4</v>
      </c>
      <c r="CG89" s="23"/>
      <c r="CH89" s="21">
        <v>28.3347473144531</v>
      </c>
      <c r="CI89" s="21"/>
      <c r="CJ89" s="38"/>
      <c r="CL89" s="88">
        <v>-1.6336947591042501</v>
      </c>
      <c r="CM89" s="1">
        <v>-245.29608266246299</v>
      </c>
      <c r="CN89" s="20">
        <v>-30.2453883748923</v>
      </c>
    </row>
    <row r="90" spans="2:92" s="1" customFormat="1" x14ac:dyDescent="0.25">
      <c r="B90" s="2" t="s">
        <v>306</v>
      </c>
      <c r="C90" s="1" t="s">
        <v>295</v>
      </c>
      <c r="D90" s="14"/>
      <c r="E90" s="19">
        <v>50</v>
      </c>
      <c r="F90" s="1">
        <v>25.4</v>
      </c>
      <c r="G90" s="21">
        <v>10.349999999999993</v>
      </c>
      <c r="H90" s="21">
        <v>0.06</v>
      </c>
      <c r="I90" s="21">
        <v>1.129</v>
      </c>
      <c r="J90" s="21">
        <v>1.1160000000000001</v>
      </c>
      <c r="K90" s="21">
        <f t="shared" si="24"/>
        <v>-0.91528319835220873</v>
      </c>
      <c r="L90" s="1">
        <v>79.09</v>
      </c>
      <c r="M90" s="14">
        <v>11</v>
      </c>
      <c r="N90" s="24">
        <v>96.886012149974505</v>
      </c>
      <c r="O90" s="23">
        <v>-49.831310908688302</v>
      </c>
      <c r="P90" s="23">
        <v>200.50969292628</v>
      </c>
      <c r="Q90" s="23">
        <f t="shared" si="22"/>
        <v>53.235796645604012</v>
      </c>
      <c r="R90" s="23">
        <f t="shared" si="23"/>
        <v>147.27389628067598</v>
      </c>
      <c r="S90" s="25">
        <f t="shared" si="25"/>
        <v>2.0695422226265379</v>
      </c>
      <c r="T90" s="21">
        <v>6.0219243048670696</v>
      </c>
      <c r="U90" s="21">
        <v>-35.121352944944398</v>
      </c>
      <c r="V90" s="21">
        <v>-7.1127886682538799</v>
      </c>
      <c r="W90" s="21">
        <f t="shared" si="29"/>
        <v>58.757257521975056</v>
      </c>
      <c r="X90" s="32">
        <f t="shared" si="33"/>
        <v>26.550235985437794</v>
      </c>
      <c r="Y90" s="35">
        <f t="shared" si="28"/>
        <v>1.3072830109627187</v>
      </c>
      <c r="Z90" s="25">
        <f t="shared" si="32"/>
        <v>-0.6723739033049525</v>
      </c>
      <c r="AA90" s="25">
        <f t="shared" si="26"/>
        <v>2.7054773881096978</v>
      </c>
      <c r="AB90" s="25">
        <f t="shared" si="30"/>
        <v>8.1253827692589903E-2</v>
      </c>
      <c r="AC90" s="25">
        <f t="shared" si="27"/>
        <v>-0.47389243305710094</v>
      </c>
      <c r="AD90" s="34">
        <f t="shared" si="31"/>
        <v>-9.5972861099731882E-2</v>
      </c>
      <c r="AE90" s="2"/>
      <c r="AF90" s="24">
        <v>4.4966452308154699</v>
      </c>
      <c r="AG90" s="23">
        <v>34.008540063575197</v>
      </c>
      <c r="AH90" s="23">
        <v>3.2715366053725701</v>
      </c>
      <c r="AI90" s="23">
        <v>20.622724163480498</v>
      </c>
      <c r="AJ90" s="23">
        <v>5.8293857435509802</v>
      </c>
      <c r="AK90" s="23">
        <v>39.900038189521801</v>
      </c>
      <c r="AL90" s="23">
        <v>34.777381729072303</v>
      </c>
      <c r="AM90" s="23">
        <v>56.177526108473401</v>
      </c>
      <c r="AN90" s="23">
        <v>6.5283357314164698</v>
      </c>
      <c r="AO90" s="23">
        <v>10.0332253048272</v>
      </c>
      <c r="AP90" s="23">
        <v>6.8463196005076297</v>
      </c>
      <c r="AQ90" s="23">
        <v>12.2256863619131</v>
      </c>
      <c r="AR90" s="23">
        <v>2.7665208773049601</v>
      </c>
      <c r="AS90" s="23">
        <v>33.979851504510997</v>
      </c>
      <c r="AT90" s="23">
        <v>12.7774873241063</v>
      </c>
      <c r="AU90" s="23">
        <v>6.8747889023818001</v>
      </c>
      <c r="AV90" s="23">
        <v>2.47332989685053</v>
      </c>
      <c r="AW90" s="23">
        <v>-1.2499001121859601</v>
      </c>
      <c r="AX90" s="23">
        <v>5.7735931966159901</v>
      </c>
      <c r="AY90" s="23">
        <v>-2.5693153353663298</v>
      </c>
      <c r="AZ90" s="23">
        <v>3.63662296590745</v>
      </c>
      <c r="BA90" s="23">
        <v>-1.2836473001600699</v>
      </c>
      <c r="BB90" s="23">
        <v>2.62158786591363</v>
      </c>
      <c r="BC90" s="23">
        <v>-1.3113684065375599</v>
      </c>
      <c r="BD90" s="23">
        <v>1.7646893680373701</v>
      </c>
      <c r="BE90" s="23">
        <v>-5.2259857228277896E-3</v>
      </c>
      <c r="BF90" s="23">
        <v>1.82404939608098</v>
      </c>
      <c r="BG90" s="23">
        <v>-0.12831585692861699</v>
      </c>
      <c r="BH90" s="23">
        <v>0.38507478508957199</v>
      </c>
      <c r="BI90" s="23">
        <v>-1.6857384701344801E-2</v>
      </c>
      <c r="BJ90" s="23">
        <v>0.17298453515353299</v>
      </c>
      <c r="BK90" s="36">
        <v>-2.6136274657189901E-2</v>
      </c>
      <c r="BL90" s="2"/>
      <c r="BM90" s="35">
        <v>0.124549670089037</v>
      </c>
      <c r="BN90" s="21">
        <v>55.929373617338001</v>
      </c>
      <c r="BO90" s="25">
        <v>0.12486515446640201</v>
      </c>
      <c r="BP90" s="21">
        <v>51.190130442030203</v>
      </c>
      <c r="BQ90" s="25">
        <v>0.124519193847652</v>
      </c>
      <c r="BR90" s="21">
        <v>70.423639185488497</v>
      </c>
      <c r="BS90" s="25">
        <v>0.124910293611829</v>
      </c>
      <c r="BT90" s="32">
        <v>69.395018943015501</v>
      </c>
      <c r="BV90" s="37">
        <f>14163822/1000000</f>
        <v>14.163822</v>
      </c>
      <c r="BW90" s="1">
        <v>1000</v>
      </c>
      <c r="BX90" s="1">
        <v>750</v>
      </c>
      <c r="BY90" s="21">
        <v>8.6692591967777108</v>
      </c>
      <c r="BZ90" s="21">
        <v>34.8458879288006</v>
      </c>
      <c r="CA90" s="45">
        <v>8.0522140754378695E-6</v>
      </c>
      <c r="CB90" s="45">
        <v>5.7632038135191199E-3</v>
      </c>
      <c r="CC90" s="45">
        <v>1.24980163729699E-4</v>
      </c>
      <c r="CD90" s="45">
        <v>4.1256806787543101E-4</v>
      </c>
      <c r="CE90" s="45">
        <v>3.0741413961494601E-4</v>
      </c>
      <c r="CF90" s="45">
        <v>2.9501939843180002E-4</v>
      </c>
      <c r="CG90" s="23"/>
      <c r="CH90" s="21">
        <v>28.185062408447202</v>
      </c>
      <c r="CI90" s="21"/>
      <c r="CJ90" s="38"/>
      <c r="CL90" s="88">
        <v>21.070980199290901</v>
      </c>
      <c r="CM90" s="1">
        <v>-226.801800272241</v>
      </c>
      <c r="CN90" s="20">
        <v>33.252566420219999</v>
      </c>
    </row>
    <row r="91" spans="2:92" s="1" customFormat="1" x14ac:dyDescent="0.25">
      <c r="B91" s="2" t="s">
        <v>307</v>
      </c>
      <c r="C91" s="1" t="s">
        <v>296</v>
      </c>
      <c r="D91" s="14"/>
      <c r="E91" s="19">
        <v>46</v>
      </c>
      <c r="F91" s="1">
        <v>67.400000000000006</v>
      </c>
      <c r="G91" s="21">
        <v>12.75</v>
      </c>
      <c r="H91" s="21">
        <v>0.26</v>
      </c>
      <c r="I91" s="21">
        <v>12.03</v>
      </c>
      <c r="J91" s="21">
        <v>10.718</v>
      </c>
      <c r="K91" s="21">
        <f t="shared" si="24"/>
        <v>0.79621373136217144</v>
      </c>
      <c r="L91" s="1">
        <v>7.6219999999999999</v>
      </c>
      <c r="M91" s="14">
        <v>11</v>
      </c>
      <c r="N91" s="24">
        <v>101.429779881361</v>
      </c>
      <c r="O91" s="23">
        <v>-41.502764739315502</v>
      </c>
      <c r="P91" s="23">
        <v>211.509972483067</v>
      </c>
      <c r="Q91" s="23">
        <f t="shared" si="22"/>
        <v>70.076205557513077</v>
      </c>
      <c r="R91" s="23">
        <f t="shared" si="23"/>
        <v>141.43376692555393</v>
      </c>
      <c r="S91" s="25">
        <f t="shared" si="25"/>
        <v>2.085284743104669</v>
      </c>
      <c r="T91" s="21">
        <v>5.3412621423569604</v>
      </c>
      <c r="U91" s="21">
        <v>-15.844669430998101</v>
      </c>
      <c r="V91" s="21">
        <v>-35.6896186390385</v>
      </c>
      <c r="W91" s="21">
        <f t="shared" si="29"/>
        <v>57.042653388782583</v>
      </c>
      <c r="X91" s="32">
        <f t="shared" si="33"/>
        <v>33.131395524682986</v>
      </c>
      <c r="Y91" s="35">
        <f t="shared" si="28"/>
        <v>1.3685920712614064</v>
      </c>
      <c r="Z91" s="25">
        <f t="shared" si="32"/>
        <v>-0.559996825627465</v>
      </c>
      <c r="AA91" s="25">
        <f t="shared" si="26"/>
        <v>2.8539041657354289</v>
      </c>
      <c r="AB91" s="25">
        <f t="shared" si="30"/>
        <v>7.2069652789434432E-2</v>
      </c>
      <c r="AC91" s="25">
        <f t="shared" si="27"/>
        <v>-0.21379213264966232</v>
      </c>
      <c r="AD91" s="34">
        <f t="shared" si="31"/>
        <v>-0.48156004235504801</v>
      </c>
      <c r="AE91" s="2"/>
      <c r="AF91" s="24">
        <v>4.2739262916501097</v>
      </c>
      <c r="AG91" s="23">
        <v>36.632453415712398</v>
      </c>
      <c r="AH91" s="23">
        <v>3.60009798199092</v>
      </c>
      <c r="AI91" s="23">
        <v>26.6443041159744</v>
      </c>
      <c r="AJ91" s="23">
        <v>7.2051769201655897</v>
      </c>
      <c r="AK91" s="23">
        <v>47.293590984322599</v>
      </c>
      <c r="AL91" s="23">
        <v>38.289345747971403</v>
      </c>
      <c r="AM91" s="23">
        <v>62.294219212817403</v>
      </c>
      <c r="AN91" s="23">
        <v>6.9347683858103704</v>
      </c>
      <c r="AO91" s="23">
        <v>11.207053253295101</v>
      </c>
      <c r="AP91" s="23">
        <v>7.2555573401984201</v>
      </c>
      <c r="AQ91" s="23">
        <v>14.065065158985201</v>
      </c>
      <c r="AR91" s="23">
        <v>2.3666704690539402</v>
      </c>
      <c r="AS91" s="23">
        <v>19.160940464396301</v>
      </c>
      <c r="AT91" s="23">
        <v>12.5629773725873</v>
      </c>
      <c r="AU91" s="23">
        <v>5.72486091616911</v>
      </c>
      <c r="AV91" s="23">
        <v>2.4030190969785399</v>
      </c>
      <c r="AW91" s="23">
        <v>-0.69855778052170903</v>
      </c>
      <c r="AX91" s="23">
        <v>4.58422527637327</v>
      </c>
      <c r="AY91" s="23">
        <v>-2.02617789272723</v>
      </c>
      <c r="AZ91" s="23">
        <v>4.0250175530252301</v>
      </c>
      <c r="BA91" s="23">
        <v>-1.91356795539506</v>
      </c>
      <c r="BB91" s="23">
        <v>2.3124233029921299</v>
      </c>
      <c r="BC91" s="23">
        <v>-0.92615062874234999</v>
      </c>
      <c r="BD91" s="23">
        <v>1.5095980539127101</v>
      </c>
      <c r="BE91" s="23">
        <v>-8.6551307485353002E-2</v>
      </c>
      <c r="BF91" s="23">
        <v>1.8101827440406799</v>
      </c>
      <c r="BG91" s="23">
        <v>-0.159390674857676</v>
      </c>
      <c r="BH91" s="23">
        <v>0.286213036114501</v>
      </c>
      <c r="BI91" s="23">
        <v>8.3097648010975397E-2</v>
      </c>
      <c r="BJ91" s="23">
        <v>0.35196849086342902</v>
      </c>
      <c r="BK91" s="36">
        <v>-0.214472648963976</v>
      </c>
      <c r="BL91" s="2"/>
      <c r="BM91" s="35">
        <v>0.123681460953873</v>
      </c>
      <c r="BN91" s="21">
        <v>64.364472814229302</v>
      </c>
      <c r="BO91" s="25">
        <v>0.123601492238274</v>
      </c>
      <c r="BP91" s="21">
        <v>46.733886589609497</v>
      </c>
      <c r="BQ91" s="25">
        <v>0.123686823672768</v>
      </c>
      <c r="BR91" s="21">
        <v>72.644614328223497</v>
      </c>
      <c r="BS91" s="25">
        <v>0.123613685089405</v>
      </c>
      <c r="BT91" s="32">
        <v>74.481532113956902</v>
      </c>
      <c r="BV91" s="37">
        <f>14510759/1000000</f>
        <v>14.510759</v>
      </c>
      <c r="BW91" s="1">
        <v>1000</v>
      </c>
      <c r="BX91" s="1">
        <v>750</v>
      </c>
      <c r="BY91" s="21">
        <v>11.9897179225276</v>
      </c>
      <c r="BZ91" s="21">
        <v>47.901291862401102</v>
      </c>
      <c r="CA91" s="45">
        <v>8.4201201223837593E-6</v>
      </c>
      <c r="CB91" s="45">
        <v>6.5348731358593499E-3</v>
      </c>
      <c r="CC91" s="45">
        <v>1.15761139550687E-4</v>
      </c>
      <c r="CD91" s="45">
        <v>3.1535709451307201E-4</v>
      </c>
      <c r="CE91" s="45">
        <v>3.34967517112672E-4</v>
      </c>
      <c r="CF91" s="45">
        <v>3.0294869571073098E-4</v>
      </c>
      <c r="CG91" s="23"/>
      <c r="CH91" s="21">
        <v>14.347099304199199</v>
      </c>
      <c r="CI91" s="21"/>
      <c r="CJ91" s="38"/>
      <c r="CL91" s="88">
        <v>17.875097093630199</v>
      </c>
      <c r="CM91" s="1">
        <v>-217.80800106535301</v>
      </c>
      <c r="CN91" s="20">
        <v>-2.0707190896033398</v>
      </c>
    </row>
    <row r="92" spans="2:92" s="1" customFormat="1" x14ac:dyDescent="0.25">
      <c r="B92" s="2" t="s">
        <v>308</v>
      </c>
      <c r="C92" s="1" t="s">
        <v>297</v>
      </c>
      <c r="D92" s="14"/>
      <c r="E92" s="19">
        <v>44.4</v>
      </c>
      <c r="F92" s="1">
        <v>38.6</v>
      </c>
      <c r="G92" s="21">
        <v>13.949999999999946</v>
      </c>
      <c r="H92" s="21">
        <v>0.54</v>
      </c>
      <c r="I92" s="21">
        <v>13.157</v>
      </c>
      <c r="J92" s="21">
        <v>11.601000000000001</v>
      </c>
      <c r="K92" s="21">
        <f t="shared" si="24"/>
        <v>-0.21578980961260166</v>
      </c>
      <c r="L92" s="1">
        <v>6.9880000000000004</v>
      </c>
      <c r="M92" s="14">
        <v>11</v>
      </c>
      <c r="N92" s="24">
        <v>92.517960839226305</v>
      </c>
      <c r="O92" s="23">
        <v>-46.175525236592797</v>
      </c>
      <c r="P92" s="23">
        <v>192.913061709933</v>
      </c>
      <c r="Q92" s="23">
        <f t="shared" si="22"/>
        <v>50.615442251581051</v>
      </c>
      <c r="R92" s="23">
        <f t="shared" si="23"/>
        <v>142.29761945835193</v>
      </c>
      <c r="S92" s="25">
        <f t="shared" si="25"/>
        <v>2.0851417385340878</v>
      </c>
      <c r="T92" s="21">
        <v>4.9138730164823903</v>
      </c>
      <c r="U92" s="21">
        <v>-34.930613284901298</v>
      </c>
      <c r="V92" s="21">
        <v>-37.732547260547598</v>
      </c>
      <c r="W92" s="21">
        <f t="shared" si="29"/>
        <v>58.146537387866594</v>
      </c>
      <c r="X92" s="32">
        <f t="shared" si="33"/>
        <v>26.237436596018156</v>
      </c>
      <c r="Y92" s="35">
        <f t="shared" si="28"/>
        <v>1.2483448924166138</v>
      </c>
      <c r="Z92" s="25">
        <f t="shared" si="32"/>
        <v>-0.62304638538158597</v>
      </c>
      <c r="AA92" s="25">
        <f t="shared" si="26"/>
        <v>2.6029760392637269</v>
      </c>
      <c r="AB92" s="25">
        <f t="shared" si="30"/>
        <v>6.6302891097755293E-2</v>
      </c>
      <c r="AC92" s="25">
        <f t="shared" si="27"/>
        <v>-0.47131878272762751</v>
      </c>
      <c r="AD92" s="34">
        <f t="shared" si="31"/>
        <v>-0.50912527927876661</v>
      </c>
      <c r="AE92" s="2"/>
      <c r="AF92" s="24">
        <v>3.9488642110489698</v>
      </c>
      <c r="AG92" s="23">
        <v>34.227128414008</v>
      </c>
      <c r="AH92" s="23">
        <v>3.2260066668834901</v>
      </c>
      <c r="AI92" s="23">
        <v>24.087040095188101</v>
      </c>
      <c r="AJ92" s="23">
        <v>6.1447030517295804</v>
      </c>
      <c r="AK92" s="23">
        <v>35.865764985200897</v>
      </c>
      <c r="AL92" s="23">
        <v>34.786442280183103</v>
      </c>
      <c r="AM92" s="23">
        <v>56.415911539094097</v>
      </c>
      <c r="AN92" s="23">
        <v>5.5217712006690496</v>
      </c>
      <c r="AO92" s="23">
        <v>9.4699411497891095</v>
      </c>
      <c r="AP92" s="23">
        <v>6.7931241652785399</v>
      </c>
      <c r="AQ92" s="23">
        <v>14.2471806451618</v>
      </c>
      <c r="AR92" s="23">
        <v>2.4949671521767698</v>
      </c>
      <c r="AS92" s="23">
        <v>25.9169954610094</v>
      </c>
      <c r="AT92" s="23">
        <v>11.0822543007984</v>
      </c>
      <c r="AU92" s="23">
        <v>3.1415385121957899</v>
      </c>
      <c r="AV92" s="23">
        <v>2.5501462964060599</v>
      </c>
      <c r="AW92" s="23">
        <v>-0.40609311253621</v>
      </c>
      <c r="AX92" s="23">
        <v>4.6995787606067196</v>
      </c>
      <c r="AY92" s="23">
        <v>-1.9801268490822901</v>
      </c>
      <c r="AZ92" s="23">
        <v>4.22615754973679</v>
      </c>
      <c r="BA92" s="23">
        <v>-1.4863580820253</v>
      </c>
      <c r="BB92" s="23">
        <v>2.07454860392098</v>
      </c>
      <c r="BC92" s="23">
        <v>-0.68200408766998299</v>
      </c>
      <c r="BD92" s="23">
        <v>1.47868496660602</v>
      </c>
      <c r="BE92" s="23">
        <v>-0.110734559227413</v>
      </c>
      <c r="BF92" s="23">
        <v>1.75501100432639</v>
      </c>
      <c r="BG92" s="23">
        <v>-7.0929449623168897E-2</v>
      </c>
      <c r="BH92" s="23">
        <v>0.39326615976871199</v>
      </c>
      <c r="BI92" s="23">
        <v>-2.6615137171529999E-2</v>
      </c>
      <c r="BJ92" s="23">
        <v>0.22965645494959799</v>
      </c>
      <c r="BK92" s="36">
        <v>-0.28834402319994001</v>
      </c>
      <c r="BL92" s="2"/>
      <c r="BM92" s="35">
        <v>0.123997970035026</v>
      </c>
      <c r="BN92" s="21">
        <v>63.049828215426302</v>
      </c>
      <c r="BO92" s="25">
        <v>0.123065601552124</v>
      </c>
      <c r="BP92" s="21">
        <v>47.308755451805197</v>
      </c>
      <c r="BQ92" s="25">
        <v>0.124003182118837</v>
      </c>
      <c r="BR92" s="21">
        <v>72.633716596331197</v>
      </c>
      <c r="BS92" s="25">
        <v>0.123087922686068</v>
      </c>
      <c r="BT92" s="32">
        <v>77.417183089401405</v>
      </c>
      <c r="BV92" s="37">
        <f>14350438/1000000</f>
        <v>14.350438</v>
      </c>
      <c r="BW92" s="1">
        <v>1000</v>
      </c>
      <c r="BX92" s="1">
        <v>750</v>
      </c>
      <c r="BY92" s="21">
        <v>8.8262375474161399</v>
      </c>
      <c r="BZ92" s="21">
        <v>35.312176454796898</v>
      </c>
      <c r="CA92" s="45">
        <v>9.5233576668714094E-6</v>
      </c>
      <c r="CB92" s="45">
        <v>5.9677096598627797E-3</v>
      </c>
      <c r="CC92" s="45">
        <v>1.2781280765630101E-4</v>
      </c>
      <c r="CD92" s="45">
        <v>4.1964423914710798E-4</v>
      </c>
      <c r="CE92" s="45">
        <v>4.0767704235471301E-4</v>
      </c>
      <c r="CF92" s="45">
        <v>3.83176476235378E-4</v>
      </c>
      <c r="CG92" s="23"/>
      <c r="CH92" s="21">
        <v>42.095596313476499</v>
      </c>
      <c r="CI92" s="21"/>
      <c r="CJ92" s="38"/>
      <c r="CL92" s="88">
        <v>18.858881637933401</v>
      </c>
      <c r="CM92" s="1">
        <v>-219.13833396586199</v>
      </c>
      <c r="CN92" s="20">
        <v>-0.32852479789799999</v>
      </c>
    </row>
    <row r="93" spans="2:92" s="1" customFormat="1" x14ac:dyDescent="0.25">
      <c r="B93" s="2" t="s">
        <v>321</v>
      </c>
      <c r="C93" s="1" t="s">
        <v>309</v>
      </c>
      <c r="D93" s="14"/>
      <c r="E93" s="19">
        <v>40.4</v>
      </c>
      <c r="F93" s="1">
        <v>36.200000000000003</v>
      </c>
      <c r="G93" s="21">
        <v>1.9499999999999984</v>
      </c>
      <c r="H93" s="21">
        <v>1.42</v>
      </c>
      <c r="I93" s="21">
        <v>6.843</v>
      </c>
      <c r="J93" s="21">
        <v>6.399</v>
      </c>
      <c r="K93" s="21">
        <f t="shared" si="24"/>
        <v>-0.15626141056676143</v>
      </c>
      <c r="L93" s="1">
        <v>13.215999999999999</v>
      </c>
      <c r="M93" s="14">
        <v>11</v>
      </c>
      <c r="N93" s="24">
        <v>112.743051786577</v>
      </c>
      <c r="O93" s="23">
        <v>3.8980022505529002</v>
      </c>
      <c r="P93" s="23">
        <v>245.50843656357301</v>
      </c>
      <c r="Q93" s="23">
        <f t="shared" si="22"/>
        <v>77.881246413402863</v>
      </c>
      <c r="R93" s="23">
        <f t="shared" si="23"/>
        <v>167.62719015017015</v>
      </c>
      <c r="S93" s="25">
        <f t="shared" si="25"/>
        <v>2.1775926114570798</v>
      </c>
      <c r="T93" s="21">
        <v>-0.174280075686573</v>
      </c>
      <c r="U93" s="21">
        <v>-25.225817237758999</v>
      </c>
      <c r="V93" s="21">
        <v>-17.478763441391699</v>
      </c>
      <c r="W93" s="21">
        <f t="shared" si="29"/>
        <v>49.541266017076502</v>
      </c>
      <c r="X93" s="32">
        <f t="shared" si="33"/>
        <v>31.722431824959287</v>
      </c>
      <c r="Y93" s="35">
        <f t="shared" si="28"/>
        <v>1.5212420548028602</v>
      </c>
      <c r="Z93" s="25">
        <f t="shared" si="32"/>
        <v>5.2595746339050758E-2</v>
      </c>
      <c r="AA93" s="25">
        <f t="shared" si="26"/>
        <v>3.3126454587764949</v>
      </c>
      <c r="AB93" s="25">
        <f t="shared" si="30"/>
        <v>-2.3515611494224721E-3</v>
      </c>
      <c r="AC93" s="25">
        <f t="shared" si="27"/>
        <v>-0.34037196475303083</v>
      </c>
      <c r="AD93" s="34">
        <f t="shared" si="31"/>
        <v>-0.2358409639587343</v>
      </c>
      <c r="AE93" s="2"/>
      <c r="AF93" s="24">
        <v>5.1058004185415298</v>
      </c>
      <c r="AG93" s="23">
        <v>37.115588540865403</v>
      </c>
      <c r="AH93" s="23">
        <v>3.6344913633691598</v>
      </c>
      <c r="AI93" s="23">
        <v>26.442368742374001</v>
      </c>
      <c r="AJ93" s="23">
        <v>7.5796122189648703</v>
      </c>
      <c r="AK93" s="23">
        <v>54.2916029834592</v>
      </c>
      <c r="AL93" s="23">
        <v>43.322594986459599</v>
      </c>
      <c r="AM93" s="23">
        <v>78.069633581564204</v>
      </c>
      <c r="AN93" s="23">
        <v>6.8886917034635697</v>
      </c>
      <c r="AO93" s="23">
        <v>12.4229775952265</v>
      </c>
      <c r="AP93" s="23">
        <v>7.5343110771389403</v>
      </c>
      <c r="AQ93" s="23">
        <v>13.0098476902155</v>
      </c>
      <c r="AR93" s="23">
        <v>2.6131886482449498</v>
      </c>
      <c r="AS93" s="23">
        <v>27.598889282934699</v>
      </c>
      <c r="AT93" s="23">
        <v>14.290428523153601</v>
      </c>
      <c r="AU93" s="23">
        <v>10.552930167230301</v>
      </c>
      <c r="AV93" s="23">
        <v>3.5904799662756299</v>
      </c>
      <c r="AW93" s="23">
        <v>-1.4973173563776601</v>
      </c>
      <c r="AX93" s="23">
        <v>4.8950568586646499</v>
      </c>
      <c r="AY93" s="23">
        <v>-2.23100274874042</v>
      </c>
      <c r="AZ93" s="23">
        <v>3.3767257301979301</v>
      </c>
      <c r="BA93" s="23">
        <v>-1.9220334883844099</v>
      </c>
      <c r="BB93" s="23">
        <v>2.8637358995198499</v>
      </c>
      <c r="BC93" s="23">
        <v>-1.3775712641762801</v>
      </c>
      <c r="BD93" s="23">
        <v>1.8615699798502801</v>
      </c>
      <c r="BE93" s="23">
        <v>-6.4245166024993305E-2</v>
      </c>
      <c r="BF93" s="23">
        <v>1.8225719765559301</v>
      </c>
      <c r="BG93" s="23">
        <v>-7.3536898423812405E-2</v>
      </c>
      <c r="BH93" s="23">
        <v>0.68394601502795604</v>
      </c>
      <c r="BI93" s="23">
        <v>-6.3909752166040903E-2</v>
      </c>
      <c r="BJ93" s="23">
        <v>0.33335070437218201</v>
      </c>
      <c r="BK93" s="36">
        <v>0.109505669240541</v>
      </c>
      <c r="BL93" s="2"/>
      <c r="BM93" s="35">
        <v>0.122568500638835</v>
      </c>
      <c r="BN93" s="21">
        <v>48.8260495340472</v>
      </c>
      <c r="BO93" s="25">
        <v>0.125670438417641</v>
      </c>
      <c r="BP93" s="21">
        <v>56.803777132733799</v>
      </c>
      <c r="BQ93" s="25">
        <v>0.12256669284539699</v>
      </c>
      <c r="BR93" s="21">
        <v>73.264543658763401</v>
      </c>
      <c r="BS93" s="25">
        <v>0.12567131489008401</v>
      </c>
      <c r="BT93" s="32">
        <v>66.585759026899098</v>
      </c>
      <c r="BV93" s="37">
        <f>14363690/1000000</f>
        <v>14.36369</v>
      </c>
      <c r="BW93" s="1">
        <v>1000</v>
      </c>
      <c r="BX93" s="1">
        <v>750</v>
      </c>
      <c r="BY93" s="21">
        <v>11.429597987749601</v>
      </c>
      <c r="BZ93" s="21">
        <v>38.980250963999801</v>
      </c>
      <c r="CA93" s="45">
        <v>9.6013246798126393E-6</v>
      </c>
      <c r="CB93" s="45">
        <v>6.0466095833969398E-3</v>
      </c>
      <c r="CC93" s="45">
        <v>1.28281731982312E-4</v>
      </c>
      <c r="CD93" s="45">
        <v>3.24692405809001E-4</v>
      </c>
      <c r="CE93" s="45">
        <v>3.6992328492285102E-4</v>
      </c>
      <c r="CF93" s="45">
        <v>3.2571807115937002E-4</v>
      </c>
      <c r="CG93" s="23"/>
      <c r="CH93" s="21">
        <v>25.43603515625</v>
      </c>
      <c r="CI93" s="21"/>
      <c r="CJ93" s="38"/>
      <c r="CL93" s="88">
        <v>-1.3514767553535501</v>
      </c>
      <c r="CM93" s="1">
        <v>-258.14587283126201</v>
      </c>
      <c r="CN93" s="20">
        <v>-20.636301184429598</v>
      </c>
    </row>
    <row r="94" spans="2:92" s="1" customFormat="1" x14ac:dyDescent="0.25">
      <c r="B94" s="2" t="s">
        <v>322</v>
      </c>
      <c r="C94" s="1" t="s">
        <v>310</v>
      </c>
      <c r="D94" s="14"/>
      <c r="E94" s="19">
        <v>28.4</v>
      </c>
      <c r="F94" s="1">
        <v>41</v>
      </c>
      <c r="G94" s="21">
        <v>6.449999999999986</v>
      </c>
      <c r="H94" s="21">
        <v>1.18</v>
      </c>
      <c r="I94" s="21">
        <v>0.627</v>
      </c>
      <c r="J94" s="21">
        <v>0.623</v>
      </c>
      <c r="K94" s="21">
        <f t="shared" si="24"/>
        <v>0.4687888809499563</v>
      </c>
      <c r="L94" s="1">
        <v>142.03</v>
      </c>
      <c r="M94" s="14">
        <v>11</v>
      </c>
      <c r="N94" s="24">
        <v>105.36414015648</v>
      </c>
      <c r="O94" s="23">
        <v>-33.708171735925802</v>
      </c>
      <c r="P94" s="23">
        <v>210.86523715779401</v>
      </c>
      <c r="Q94" s="23">
        <f t="shared" si="22"/>
        <v>62.299757103271922</v>
      </c>
      <c r="R94" s="23">
        <f t="shared" si="23"/>
        <v>148.56548005452208</v>
      </c>
      <c r="S94" s="25">
        <f t="shared" si="25"/>
        <v>2.0012998430455617</v>
      </c>
      <c r="T94" s="21">
        <v>2.4198381568466401</v>
      </c>
      <c r="U94" s="21">
        <v>-26.1615922494078</v>
      </c>
      <c r="V94" s="21">
        <v>-1.76331227368386</v>
      </c>
      <c r="W94" s="21">
        <f t="shared" si="29"/>
        <v>54.979367466683485</v>
      </c>
      <c r="X94" s="32">
        <f t="shared" si="33"/>
        <v>29.544821110865215</v>
      </c>
      <c r="Y94" s="35">
        <f t="shared" si="28"/>
        <v>1.4216783964443243</v>
      </c>
      <c r="Z94" s="25">
        <f t="shared" si="32"/>
        <v>-0.45482437828876099</v>
      </c>
      <c r="AA94" s="25">
        <f t="shared" si="26"/>
        <v>2.8452047516652925</v>
      </c>
      <c r="AB94" s="25">
        <f t="shared" si="30"/>
        <v>3.2650877474739617E-2</v>
      </c>
      <c r="AC94" s="25">
        <f t="shared" si="27"/>
        <v>-0.35299837745869855</v>
      </c>
      <c r="AD94" s="34">
        <f t="shared" si="31"/>
        <v>-2.3792373401030322E-2</v>
      </c>
      <c r="AE94" s="2"/>
      <c r="AF94" s="24">
        <v>5.1229850947971904</v>
      </c>
      <c r="AG94" s="23">
        <v>37.511270461422399</v>
      </c>
      <c r="AH94" s="23">
        <v>3.07893431412624</v>
      </c>
      <c r="AI94" s="23">
        <v>19.802296555859499</v>
      </c>
      <c r="AJ94" s="23">
        <v>6.6173143078705898</v>
      </c>
      <c r="AK94" s="23">
        <v>45.017860286428899</v>
      </c>
      <c r="AL94" s="23">
        <v>40.2383705808709</v>
      </c>
      <c r="AM94" s="23">
        <v>69.063817938708098</v>
      </c>
      <c r="AN94" s="23">
        <v>7.1376135578175299</v>
      </c>
      <c r="AO94" s="23">
        <v>11.890073835486501</v>
      </c>
      <c r="AP94" s="23">
        <v>7.3208399996896096</v>
      </c>
      <c r="AQ94" s="23">
        <v>12.4599105426744</v>
      </c>
      <c r="AR94" s="23">
        <v>2.30730551589946</v>
      </c>
      <c r="AS94" s="23">
        <v>20.520663749422901</v>
      </c>
      <c r="AT94" s="23">
        <v>13.796515864159399</v>
      </c>
      <c r="AU94" s="23">
        <v>7.4410943136265102</v>
      </c>
      <c r="AV94" s="23">
        <v>2.6931570222864698</v>
      </c>
      <c r="AW94" s="23">
        <v>-1.3804042742840601</v>
      </c>
      <c r="AX94" s="23">
        <v>5.6714022458395101</v>
      </c>
      <c r="AY94" s="23">
        <v>-2.0511260623299599</v>
      </c>
      <c r="AZ94" s="23">
        <v>3.2024589388790101</v>
      </c>
      <c r="BA94" s="23">
        <v>-1.5373584858001701</v>
      </c>
      <c r="BB94" s="23">
        <v>2.3723322144643402</v>
      </c>
      <c r="BC94" s="23">
        <v>-1.3218451738962</v>
      </c>
      <c r="BD94" s="23">
        <v>1.67027986250209</v>
      </c>
      <c r="BE94" s="23">
        <v>-0.33294051325748297</v>
      </c>
      <c r="BF94" s="23">
        <v>1.7487306892557799</v>
      </c>
      <c r="BG94" s="23">
        <v>6.4492966670936902E-2</v>
      </c>
      <c r="BH94" s="23">
        <v>0.49918904487150501</v>
      </c>
      <c r="BI94" s="23">
        <v>-4.9589596570541003E-2</v>
      </c>
      <c r="BJ94" s="23">
        <v>0.153424761922724</v>
      </c>
      <c r="BK94" s="36">
        <v>-6.6954567968216694E-2</v>
      </c>
      <c r="BL94" s="2"/>
      <c r="BM94" s="35">
        <v>0.124640629454828</v>
      </c>
      <c r="BN94" s="21">
        <v>49.429672379759801</v>
      </c>
      <c r="BO94" s="25">
        <v>0.123496760232108</v>
      </c>
      <c r="BP94" s="21">
        <v>54.784303664619898</v>
      </c>
      <c r="BQ94" s="25">
        <v>0.124629506486322</v>
      </c>
      <c r="BR94" s="21">
        <v>70.1307592662952</v>
      </c>
      <c r="BS94" s="25">
        <v>0.123441435521042</v>
      </c>
      <c r="BT94" s="32">
        <v>75.664036657147193</v>
      </c>
      <c r="BV94" s="37">
        <f>14158774/1000000</f>
        <v>14.158773999999999</v>
      </c>
      <c r="BW94" s="1">
        <v>1000</v>
      </c>
      <c r="BX94" s="1">
        <v>750</v>
      </c>
      <c r="BY94" s="21">
        <v>11.8590237494444</v>
      </c>
      <c r="BZ94" s="21">
        <v>47.005958764399097</v>
      </c>
      <c r="CA94" s="45">
        <v>9.82756915262496E-6</v>
      </c>
      <c r="CB94" s="45">
        <v>5.7625520249858699E-3</v>
      </c>
      <c r="CC94" s="45">
        <v>1.5594642533208199E-4</v>
      </c>
      <c r="CD94" s="45">
        <v>5.1163228359426302E-4</v>
      </c>
      <c r="CE94" s="45">
        <v>3.3553741121473301E-4</v>
      </c>
      <c r="CF94" s="45">
        <v>4.2604700423182998E-4</v>
      </c>
      <c r="CG94" s="23"/>
      <c r="CH94" s="21">
        <v>14.009334564208901</v>
      </c>
      <c r="CI94" s="21"/>
      <c r="CJ94" s="38"/>
      <c r="CL94" s="88">
        <v>12.5997060210962</v>
      </c>
      <c r="CM94" s="1">
        <v>-228.790839283964</v>
      </c>
      <c r="CN94" s="20">
        <v>25.541655159285401</v>
      </c>
    </row>
    <row r="95" spans="2:92" s="1" customFormat="1" x14ac:dyDescent="0.25">
      <c r="B95" s="2" t="s">
        <v>323</v>
      </c>
      <c r="C95" s="1" t="s">
        <v>311</v>
      </c>
      <c r="D95" s="14"/>
      <c r="E95" s="19">
        <v>42</v>
      </c>
      <c r="F95" s="1">
        <v>62.6</v>
      </c>
      <c r="G95" s="21">
        <v>5.25</v>
      </c>
      <c r="H95" s="21">
        <v>1.22</v>
      </c>
      <c r="I95" s="21">
        <v>3.4329999999999998</v>
      </c>
      <c r="J95" s="21">
        <v>3.3170000000000002</v>
      </c>
      <c r="K95" s="21">
        <f t="shared" si="24"/>
        <v>0.76644692201783438</v>
      </c>
      <c r="L95" s="1">
        <v>26.047999999999998</v>
      </c>
      <c r="M95" s="14">
        <v>11</v>
      </c>
      <c r="N95" s="24">
        <v>112.51286404242001</v>
      </c>
      <c r="O95" s="23">
        <v>-19.735774713880801</v>
      </c>
      <c r="P95" s="23">
        <v>237.279318549442</v>
      </c>
      <c r="Q95" s="23">
        <f t="shared" si="22"/>
        <v>79.609853422960811</v>
      </c>
      <c r="R95" s="23">
        <f t="shared" si="23"/>
        <v>157.66946512648119</v>
      </c>
      <c r="S95" s="25">
        <f t="shared" si="25"/>
        <v>2.1089083507818458</v>
      </c>
      <c r="T95" s="21">
        <v>9.8618844514812505</v>
      </c>
      <c r="U95" s="21">
        <v>-16.626352156180399</v>
      </c>
      <c r="V95" s="21">
        <v>-10.295190040728301</v>
      </c>
      <c r="W95" s="21">
        <f t="shared" si="29"/>
        <v>55.556773240850447</v>
      </c>
      <c r="X95" s="32">
        <f t="shared" si="33"/>
        <v>33.551113476572326</v>
      </c>
      <c r="Y95" s="35">
        <f t="shared" si="28"/>
        <v>1.5181361314544779</v>
      </c>
      <c r="Z95" s="25">
        <f t="shared" si="32"/>
        <v>-0.26629481820044931</v>
      </c>
      <c r="AA95" s="25">
        <f t="shared" si="26"/>
        <v>3.2016099652479939</v>
      </c>
      <c r="AB95" s="25">
        <f t="shared" si="30"/>
        <v>0.13306641189382692</v>
      </c>
      <c r="AC95" s="25">
        <f t="shared" si="27"/>
        <v>-0.22433937805606877</v>
      </c>
      <c r="AD95" s="34">
        <f t="shared" si="31"/>
        <v>-0.1389130044287846</v>
      </c>
      <c r="AE95" s="2"/>
      <c r="AF95" s="24">
        <v>4.9844142930691904</v>
      </c>
      <c r="AG95" s="23">
        <v>35.602965472034398</v>
      </c>
      <c r="AH95" s="23">
        <v>4.2932731791953902</v>
      </c>
      <c r="AI95" s="23">
        <v>29.343997084872999</v>
      </c>
      <c r="AJ95" s="23">
        <v>7.4992273861731702</v>
      </c>
      <c r="AK95" s="23">
        <v>54.681913094489502</v>
      </c>
      <c r="AL95" s="23">
        <v>43.842947373373399</v>
      </c>
      <c r="AM95" s="23">
        <v>76.333667688330806</v>
      </c>
      <c r="AN95" s="23">
        <v>7.2951339666599297</v>
      </c>
      <c r="AO95" s="23">
        <v>12.517253638167199</v>
      </c>
      <c r="AP95" s="23">
        <v>7.8779418722637304</v>
      </c>
      <c r="AQ95" s="23">
        <v>13.733752537388201</v>
      </c>
      <c r="AR95" s="23">
        <v>2.6250817625440601</v>
      </c>
      <c r="AS95" s="23">
        <v>19.993095692157802</v>
      </c>
      <c r="AT95" s="23">
        <v>14.185383136570801</v>
      </c>
      <c r="AU95" s="23">
        <v>9.7208072266071408</v>
      </c>
      <c r="AV95" s="23">
        <v>2.63696280412772</v>
      </c>
      <c r="AW95" s="23">
        <v>-1.2440814825869599</v>
      </c>
      <c r="AX95" s="23">
        <v>4.46406237915666</v>
      </c>
      <c r="AY95" s="23">
        <v>-2.60524613627123</v>
      </c>
      <c r="AZ95" s="23">
        <v>3.8683015534035201</v>
      </c>
      <c r="BA95" s="23">
        <v>-2.2668738729318498</v>
      </c>
      <c r="BB95" s="23">
        <v>2.5734998627778101</v>
      </c>
      <c r="BC95" s="23">
        <v>-1.76356236468367</v>
      </c>
      <c r="BD95" s="23">
        <v>1.3904166666884601</v>
      </c>
      <c r="BE95" s="23">
        <v>-0.34110381910826798</v>
      </c>
      <c r="BF95" s="23">
        <v>2.0122502752040599</v>
      </c>
      <c r="BG95" s="23">
        <v>-4.8956704987695998E-2</v>
      </c>
      <c r="BH95" s="23">
        <v>0.43473746801003699</v>
      </c>
      <c r="BI95" s="23">
        <v>-0.159508351833372</v>
      </c>
      <c r="BJ95" s="23">
        <v>0.42210842511004298</v>
      </c>
      <c r="BK95" s="36">
        <v>-6.6822400573153196E-2</v>
      </c>
      <c r="BL95" s="2"/>
      <c r="BM95" s="35">
        <v>0.122805551769019</v>
      </c>
      <c r="BN95" s="21">
        <v>49.1627197032278</v>
      </c>
      <c r="BO95" s="25">
        <v>0.12538942358348301</v>
      </c>
      <c r="BP95" s="21">
        <v>52.892606703412497</v>
      </c>
      <c r="BQ95" s="25">
        <v>0.122824774392916</v>
      </c>
      <c r="BR95" s="21">
        <v>73.371044608919107</v>
      </c>
      <c r="BS95" s="25">
        <v>0.12538911039501599</v>
      </c>
      <c r="BT95" s="32">
        <v>67.764216304494894</v>
      </c>
      <c r="BV95" s="37">
        <f>14402268/1000000</f>
        <v>14.402267999999999</v>
      </c>
      <c r="BW95" s="1">
        <v>1000</v>
      </c>
      <c r="BX95" s="1">
        <v>750</v>
      </c>
      <c r="BY95" s="21">
        <v>9.1841191369447692</v>
      </c>
      <c r="BZ95" s="21">
        <v>37.109725603996701</v>
      </c>
      <c r="CA95" s="45">
        <v>1.00740323095624E-5</v>
      </c>
      <c r="CB95" s="45">
        <v>5.94919784387674E-3</v>
      </c>
      <c r="CC95" s="45">
        <v>1.3077636664954301E-4</v>
      </c>
      <c r="CD95" s="45">
        <v>4.36017350286913E-4</v>
      </c>
      <c r="CE95" s="45">
        <v>3.0524422726817301E-4</v>
      </c>
      <c r="CF95" s="45">
        <v>3.6676322955495099E-4</v>
      </c>
      <c r="CG95" s="23"/>
      <c r="CH95" s="21">
        <v>33.327949523925703</v>
      </c>
      <c r="CI95" s="21"/>
      <c r="CJ95" s="38"/>
      <c r="CL95" s="88">
        <v>15.8220884150732</v>
      </c>
      <c r="CM95" s="1">
        <v>-242.810976294781</v>
      </c>
      <c r="CN95" s="20">
        <v>5.6915769085037002</v>
      </c>
    </row>
    <row r="96" spans="2:92" s="1" customFormat="1" x14ac:dyDescent="0.25">
      <c r="B96" s="2" t="s">
        <v>324</v>
      </c>
      <c r="C96" s="1" t="s">
        <v>312</v>
      </c>
      <c r="D96" s="14"/>
      <c r="E96" s="19">
        <v>25.2</v>
      </c>
      <c r="F96" s="1">
        <v>44.6</v>
      </c>
      <c r="G96" s="21">
        <v>12.449999999999998</v>
      </c>
      <c r="H96" s="21">
        <v>0.86</v>
      </c>
      <c r="I96" s="21">
        <v>5.7850000000000001</v>
      </c>
      <c r="J96" s="21">
        <v>5.4649999999999999</v>
      </c>
      <c r="K96" s="21">
        <f t="shared" si="24"/>
        <v>0.72179709339452436</v>
      </c>
      <c r="L96" s="1">
        <v>15.583</v>
      </c>
      <c r="M96" s="14">
        <v>11</v>
      </c>
      <c r="N96" s="24">
        <v>95.9629405014431</v>
      </c>
      <c r="O96" s="23">
        <v>-48.293419073798397</v>
      </c>
      <c r="P96" s="23">
        <v>200.925293417717</v>
      </c>
      <c r="Q96" s="23">
        <f t="shared" si="22"/>
        <v>67.158475417517678</v>
      </c>
      <c r="R96" s="23">
        <f t="shared" si="23"/>
        <v>133.76681800019932</v>
      </c>
      <c r="S96" s="25">
        <f t="shared" si="25"/>
        <v>2.093780081850404</v>
      </c>
      <c r="T96" s="21">
        <v>6.5843850828752704</v>
      </c>
      <c r="U96" s="21">
        <v>-14.262567008783799</v>
      </c>
      <c r="V96" s="21">
        <v>-20.3155012597142</v>
      </c>
      <c r="W96" s="21">
        <f t="shared" si="29"/>
        <v>58.779796246273129</v>
      </c>
      <c r="X96" s="32">
        <f t="shared" si="33"/>
        <v>33.424599897384468</v>
      </c>
      <c r="Y96" s="35">
        <f t="shared" si="28"/>
        <v>1.2948280047420218</v>
      </c>
      <c r="Z96" s="25">
        <f t="shared" si="32"/>
        <v>-0.65162312799862898</v>
      </c>
      <c r="AA96" s="25">
        <f t="shared" si="26"/>
        <v>2.7110850857509456</v>
      </c>
      <c r="AB96" s="25">
        <f t="shared" si="30"/>
        <v>8.8843111254852683E-2</v>
      </c>
      <c r="AC96" s="25">
        <f t="shared" si="27"/>
        <v>-0.19244482386620068</v>
      </c>
      <c r="AD96" s="34">
        <f t="shared" si="31"/>
        <v>-0.27411706877671371</v>
      </c>
      <c r="AE96" s="2"/>
      <c r="AF96" s="24">
        <v>4.47861188491816</v>
      </c>
      <c r="AG96" s="23">
        <v>36.042780056899602</v>
      </c>
      <c r="AH96" s="23">
        <v>3.3049295550475799</v>
      </c>
      <c r="AI96" s="23">
        <v>22.410091568686799</v>
      </c>
      <c r="AJ96" s="23">
        <v>7.00910938759041</v>
      </c>
      <c r="AK96" s="23">
        <v>47.228315402433502</v>
      </c>
      <c r="AL96" s="23">
        <v>35.695326346292298</v>
      </c>
      <c r="AM96" s="23">
        <v>57.148275261606599</v>
      </c>
      <c r="AN96" s="23">
        <v>6.4602692942897004</v>
      </c>
      <c r="AO96" s="23">
        <v>10.6834075822466</v>
      </c>
      <c r="AP96" s="23">
        <v>6.8383674872493998</v>
      </c>
      <c r="AQ96" s="23">
        <v>12.601987028870401</v>
      </c>
      <c r="AR96" s="23">
        <v>2.4851229294647998</v>
      </c>
      <c r="AS96" s="23">
        <v>22.304917494416099</v>
      </c>
      <c r="AT96" s="23">
        <v>12.400224358520401</v>
      </c>
      <c r="AU96" s="23">
        <v>5.4253473570796302</v>
      </c>
      <c r="AV96" s="23">
        <v>2.4110714946156602</v>
      </c>
      <c r="AW96" s="23">
        <v>-1.12436559279647</v>
      </c>
      <c r="AX96" s="23">
        <v>4.4356870600088198</v>
      </c>
      <c r="AY96" s="23">
        <v>-2.6322151954400699</v>
      </c>
      <c r="AZ96" s="23">
        <v>4.0523315710130596</v>
      </c>
      <c r="BA96" s="23">
        <v>-1.3714402167609401</v>
      </c>
      <c r="BB96" s="23">
        <v>1.8322228907997899</v>
      </c>
      <c r="BC96" s="23">
        <v>-1.06869431012075</v>
      </c>
      <c r="BD96" s="23">
        <v>1.5067595083123899</v>
      </c>
      <c r="BE96" s="23">
        <v>-0.26716459260665099</v>
      </c>
      <c r="BF96" s="23">
        <v>1.51812344777127</v>
      </c>
      <c r="BG96" s="23">
        <v>-0.38200716613936497</v>
      </c>
      <c r="BH96" s="23">
        <v>0.35697330865377103</v>
      </c>
      <c r="BI96" s="23">
        <v>-2.9802708198489101E-2</v>
      </c>
      <c r="BJ96" s="23">
        <v>0.173041409911873</v>
      </c>
      <c r="BK96" s="36">
        <v>-5.26238176300624E-4</v>
      </c>
      <c r="BL96" s="2"/>
      <c r="BM96" s="35">
        <v>0.121888883672139</v>
      </c>
      <c r="BN96" s="21">
        <v>57.290840794546497</v>
      </c>
      <c r="BO96" s="25">
        <v>0.12412743319198299</v>
      </c>
      <c r="BP96" s="21">
        <v>51.080815298180298</v>
      </c>
      <c r="BQ96" s="25">
        <v>0.121893670430459</v>
      </c>
      <c r="BR96" s="21">
        <v>76.033671389493094</v>
      </c>
      <c r="BS96" s="25">
        <v>0.124116206954485</v>
      </c>
      <c r="BT96" s="32">
        <v>73.237876619021904</v>
      </c>
      <c r="BV96" s="37">
        <f>14058292/1000000</f>
        <v>14.058292</v>
      </c>
      <c r="BW96" s="1">
        <v>1000</v>
      </c>
      <c r="BX96" s="1">
        <v>750</v>
      </c>
      <c r="BY96" s="21">
        <v>11.634253101888399</v>
      </c>
      <c r="BZ96" s="21">
        <v>45.889440130801098</v>
      </c>
      <c r="CA96" s="45">
        <v>9.1521643559189399E-6</v>
      </c>
      <c r="CB96" s="45">
        <v>5.9501159061672E-3</v>
      </c>
      <c r="CC96" s="45">
        <v>1.4226918387434001E-4</v>
      </c>
      <c r="CD96" s="45">
        <v>3.8786606121953498E-4</v>
      </c>
      <c r="CE96" s="45">
        <v>3.7596610408093201E-4</v>
      </c>
      <c r="CF96" s="45">
        <v>3.3193406036541399E-4</v>
      </c>
      <c r="CG96" s="23"/>
      <c r="CH96" s="21">
        <v>13.899120330810501</v>
      </c>
      <c r="CI96" s="21"/>
      <c r="CJ96" s="38"/>
      <c r="CL96" s="88">
        <v>21.168997643162399</v>
      </c>
      <c r="CM96" s="1">
        <v>-206.00089972030699</v>
      </c>
      <c r="CN96" s="20">
        <v>18.804099926825401</v>
      </c>
    </row>
    <row r="97" spans="2:92" s="1" customFormat="1" x14ac:dyDescent="0.25">
      <c r="B97" s="2" t="s">
        <v>325</v>
      </c>
      <c r="C97" s="1" t="s">
        <v>313</v>
      </c>
      <c r="D97" s="14"/>
      <c r="E97" s="19">
        <v>45.2</v>
      </c>
      <c r="F97" s="1">
        <v>43.4</v>
      </c>
      <c r="G97" s="21">
        <v>8.5499999999999901</v>
      </c>
      <c r="H97" s="21">
        <v>1.54</v>
      </c>
      <c r="I97" s="21">
        <v>9.2759999999999998</v>
      </c>
      <c r="J97" s="21">
        <v>8.48</v>
      </c>
      <c r="K97" s="21">
        <f t="shared" si="24"/>
        <v>-6.6969108185864809E-2</v>
      </c>
      <c r="L97" s="1">
        <v>9.8160000000000007</v>
      </c>
      <c r="M97" s="14">
        <v>11</v>
      </c>
      <c r="N97" s="24">
        <v>104.84992618167099</v>
      </c>
      <c r="O97" s="23">
        <v>-26.723472852302098</v>
      </c>
      <c r="P97" s="23">
        <v>223.03703958429901</v>
      </c>
      <c r="Q97" s="23">
        <f t="shared" si="22"/>
        <v>63.255461012284087</v>
      </c>
      <c r="R97" s="23">
        <f t="shared" si="23"/>
        <v>159.78157857201492</v>
      </c>
      <c r="S97" s="25">
        <f t="shared" si="25"/>
        <v>2.12720263815778</v>
      </c>
      <c r="T97" s="21">
        <v>7.0454536157605796</v>
      </c>
      <c r="U97" s="21">
        <v>-33.730029749172701</v>
      </c>
      <c r="V97" s="21">
        <v>-24.270141573966999</v>
      </c>
      <c r="W97" s="21">
        <f t="shared" si="29"/>
        <v>55.64776985223665</v>
      </c>
      <c r="X97" s="32">
        <f t="shared" si="33"/>
        <v>28.360966918401047</v>
      </c>
      <c r="Y97" s="35">
        <f t="shared" si="28"/>
        <v>1.4147401070220404</v>
      </c>
      <c r="Z97" s="25">
        <f t="shared" si="32"/>
        <v>-0.36057983271785587</v>
      </c>
      <c r="AA97" s="25">
        <f t="shared" si="26"/>
        <v>3.0094388879649046</v>
      </c>
      <c r="AB97" s="25">
        <f t="shared" si="30"/>
        <v>9.5064309202369079E-2</v>
      </c>
      <c r="AC97" s="25">
        <f t="shared" si="27"/>
        <v>-0.45511930847256127</v>
      </c>
      <c r="AD97" s="34">
        <f t="shared" si="31"/>
        <v>-0.32747703253792537</v>
      </c>
      <c r="AE97" s="2"/>
      <c r="AF97" s="24">
        <v>4.1580544545915696</v>
      </c>
      <c r="AG97" s="23">
        <v>34.6506658420289</v>
      </c>
      <c r="AH97" s="23">
        <v>3.6489092947961099</v>
      </c>
      <c r="AI97" s="23">
        <v>26.084763796377199</v>
      </c>
      <c r="AJ97" s="23">
        <v>6.88723056330105</v>
      </c>
      <c r="AK97" s="23">
        <v>45.7877903908782</v>
      </c>
      <c r="AL97" s="23">
        <v>40.607932401224502</v>
      </c>
      <c r="AM97" s="23">
        <v>68.230921048004205</v>
      </c>
      <c r="AN97" s="23">
        <v>7.1367560507392502</v>
      </c>
      <c r="AO97" s="23">
        <v>12.434634398177399</v>
      </c>
      <c r="AP97" s="23">
        <v>7.7479883003338097</v>
      </c>
      <c r="AQ97" s="23">
        <v>15.203586395730399</v>
      </c>
      <c r="AR97" s="23">
        <v>2.8955672472068699</v>
      </c>
      <c r="AS97" s="23">
        <v>27.451734922649099</v>
      </c>
      <c r="AT97" s="23">
        <v>13.1173481299013</v>
      </c>
      <c r="AU97" s="23">
        <v>7.2665404076941797</v>
      </c>
      <c r="AV97" s="23">
        <v>2.5756996796874398</v>
      </c>
      <c r="AW97" s="23">
        <v>-1.50199220862155</v>
      </c>
      <c r="AX97" s="23">
        <v>5.1111172764238804</v>
      </c>
      <c r="AY97" s="23">
        <v>-2.25900004387307</v>
      </c>
      <c r="AZ97" s="23">
        <v>4.1442235574568604</v>
      </c>
      <c r="BA97" s="23">
        <v>-1.83645068973848</v>
      </c>
      <c r="BB97" s="23">
        <v>1.8917105407331001</v>
      </c>
      <c r="BC97" s="23">
        <v>-1.2152849622797901</v>
      </c>
      <c r="BD97" s="23">
        <v>1.67815063534139</v>
      </c>
      <c r="BE97" s="23">
        <v>-0.373065985498087</v>
      </c>
      <c r="BF97" s="23">
        <v>1.91485989358538</v>
      </c>
      <c r="BG97" s="23">
        <v>-1.8756677768555701E-2</v>
      </c>
      <c r="BH97" s="23">
        <v>0.321532186095982</v>
      </c>
      <c r="BI97" s="23">
        <v>-6.9836937108099406E-2</v>
      </c>
      <c r="BJ97" s="23">
        <v>0.204963436198635</v>
      </c>
      <c r="BK97" s="36">
        <v>-0.13426862956917501</v>
      </c>
      <c r="BL97" s="2"/>
      <c r="BM97" s="35">
        <v>0.124438637543636</v>
      </c>
      <c r="BN97" s="21">
        <v>57.924025641075701</v>
      </c>
      <c r="BO97" s="25">
        <v>0.123729064881815</v>
      </c>
      <c r="BP97" s="21">
        <v>58.1049577085385</v>
      </c>
      <c r="BQ97" s="25">
        <v>0.124439731186063</v>
      </c>
      <c r="BR97" s="21">
        <v>70.383731620139599</v>
      </c>
      <c r="BS97" s="25">
        <v>0.12369374356606</v>
      </c>
      <c r="BT97" s="32">
        <v>74.862255926802902</v>
      </c>
      <c r="BV97" s="37">
        <f>14368943/1000000</f>
        <v>14.368943</v>
      </c>
      <c r="BW97" s="1">
        <v>1000</v>
      </c>
      <c r="BX97" s="1">
        <v>750</v>
      </c>
      <c r="BY97" s="21">
        <v>9.9958742658612998</v>
      </c>
      <c r="BZ97" s="21">
        <v>40.136515243999099</v>
      </c>
      <c r="CA97" s="45">
        <v>9.7607753309614305E-6</v>
      </c>
      <c r="CB97" s="45">
        <v>5.6481227891370502E-3</v>
      </c>
      <c r="CC97" s="45">
        <v>1.2259673394099599E-4</v>
      </c>
      <c r="CD97" s="45">
        <v>3.0506871288354801E-4</v>
      </c>
      <c r="CE97" s="45">
        <v>3.2303646420492901E-4</v>
      </c>
      <c r="CF97" s="45">
        <v>3.5532556656411201E-4</v>
      </c>
      <c r="CG97" s="23"/>
      <c r="CH97" s="21">
        <v>39.610790252685497</v>
      </c>
      <c r="CI97" s="21"/>
      <c r="CJ97" s="38"/>
      <c r="CL97" s="88">
        <v>15.1159424171558</v>
      </c>
      <c r="CM97" s="1">
        <v>-246.063631000903</v>
      </c>
      <c r="CN97" s="20">
        <v>-2.6230596246881701</v>
      </c>
    </row>
    <row r="98" spans="2:92" s="1" customFormat="1" x14ac:dyDescent="0.25">
      <c r="B98" s="2" t="s">
        <v>326</v>
      </c>
      <c r="C98" s="1" t="s">
        <v>314</v>
      </c>
      <c r="D98" s="14"/>
      <c r="E98" s="19">
        <v>22.8</v>
      </c>
      <c r="F98" s="1">
        <v>63.8</v>
      </c>
      <c r="G98" s="21">
        <v>13.349999999999943</v>
      </c>
      <c r="H98" s="21">
        <v>0.34</v>
      </c>
      <c r="I98" s="21">
        <v>3.6890000000000001</v>
      </c>
      <c r="J98" s="21">
        <v>3.5550000000000002</v>
      </c>
      <c r="K98" s="21">
        <f t="shared" si="24"/>
        <v>1.5255873768995551</v>
      </c>
      <c r="L98" s="1">
        <v>24.27</v>
      </c>
      <c r="M98" s="14">
        <v>11</v>
      </c>
      <c r="N98" s="24">
        <v>100.234661402347</v>
      </c>
      <c r="O98" s="23">
        <v>-54.297525948016798</v>
      </c>
      <c r="P98" s="23">
        <v>211.314942913339</v>
      </c>
      <c r="Q98" s="23">
        <f t="shared" si="22"/>
        <v>75.567561341363671</v>
      </c>
      <c r="R98" s="23">
        <f t="shared" si="23"/>
        <v>135.74738157197532</v>
      </c>
      <c r="S98" s="25">
        <f t="shared" si="25"/>
        <v>2.1082022920705059</v>
      </c>
      <c r="T98" s="21">
        <v>5.1421475737914903</v>
      </c>
      <c r="U98" s="21">
        <v>-7.6065435198118898</v>
      </c>
      <c r="V98" s="21">
        <v>-16.558641492255202</v>
      </c>
      <c r="W98" s="21">
        <f t="shared" si="29"/>
        <v>58.494430206530687</v>
      </c>
      <c r="X98" s="32">
        <f t="shared" si="33"/>
        <v>35.760633062449443</v>
      </c>
      <c r="Y98" s="35">
        <f t="shared" si="28"/>
        <v>1.3524663370193555</v>
      </c>
      <c r="Z98" s="25">
        <f t="shared" si="32"/>
        <v>-0.73263654509046094</v>
      </c>
      <c r="AA98" s="25">
        <f t="shared" si="26"/>
        <v>2.8512726316524062</v>
      </c>
      <c r="AB98" s="25">
        <f t="shared" si="30"/>
        <v>6.9382999815031057E-2</v>
      </c>
      <c r="AC98" s="25">
        <f t="shared" si="27"/>
        <v>-0.1026350955616379</v>
      </c>
      <c r="AD98" s="34">
        <f t="shared" si="31"/>
        <v>-0.22342575803346532</v>
      </c>
      <c r="AE98" s="2"/>
      <c r="AF98" s="24">
        <v>4.4651112187729698</v>
      </c>
      <c r="AG98" s="23">
        <v>38.058741876810501</v>
      </c>
      <c r="AH98" s="23">
        <v>3.3517903597695899</v>
      </c>
      <c r="AI98" s="23">
        <v>24.732396972546901</v>
      </c>
      <c r="AJ98" s="23">
        <v>7.6293199159132703</v>
      </c>
      <c r="AK98" s="23">
        <v>47.6053481565041</v>
      </c>
      <c r="AL98" s="23">
        <v>37.080742861546199</v>
      </c>
      <c r="AM98" s="23">
        <v>60.027759490394402</v>
      </c>
      <c r="AN98" s="23">
        <v>7.5315767028642897</v>
      </c>
      <c r="AO98" s="23">
        <v>10.960214039358901</v>
      </c>
      <c r="AP98" s="23">
        <v>6.88299777923676</v>
      </c>
      <c r="AQ98" s="23">
        <v>12.3665232079628</v>
      </c>
      <c r="AR98" s="23">
        <v>2.48283319460712</v>
      </c>
      <c r="AS98" s="23">
        <v>19.834428875840501</v>
      </c>
      <c r="AT98" s="23">
        <v>12.229078283781501</v>
      </c>
      <c r="AU98" s="23">
        <v>8.4634244566856598</v>
      </c>
      <c r="AV98" s="23">
        <v>2.18579373094963</v>
      </c>
      <c r="AW98" s="23">
        <v>-0.65488398719604601</v>
      </c>
      <c r="AX98" s="23">
        <v>4.2581978104366298</v>
      </c>
      <c r="AY98" s="23">
        <v>-2.0075915276636702</v>
      </c>
      <c r="AZ98" s="23">
        <v>4.4618128196259397</v>
      </c>
      <c r="BA98" s="23">
        <v>-1.99542390346513</v>
      </c>
      <c r="BB98" s="23">
        <v>1.8498572528525301</v>
      </c>
      <c r="BC98" s="23">
        <v>-0.69613277841517995</v>
      </c>
      <c r="BD98" s="23">
        <v>1.5191614500416</v>
      </c>
      <c r="BE98" s="23">
        <v>-1.7129753181175999E-2</v>
      </c>
      <c r="BF98" s="23">
        <v>2.0536107911749801</v>
      </c>
      <c r="BG98" s="23">
        <v>8.0249811222933704E-2</v>
      </c>
      <c r="BH98" s="23">
        <v>0.29195101026054299</v>
      </c>
      <c r="BI98" s="23">
        <v>7.9050383091779405E-2</v>
      </c>
      <c r="BJ98" s="23">
        <v>0.20906024307419899</v>
      </c>
      <c r="BK98" s="36">
        <v>-0.100219101881051</v>
      </c>
      <c r="BL98" s="2"/>
      <c r="BM98" s="35">
        <v>0.123260534793904</v>
      </c>
      <c r="BN98" s="21">
        <v>61.9189760669409</v>
      </c>
      <c r="BO98" s="25">
        <v>0.123632728518086</v>
      </c>
      <c r="BP98" s="21">
        <v>45.411314954592797</v>
      </c>
      <c r="BQ98" s="25">
        <v>0.123290304702981</v>
      </c>
      <c r="BR98" s="21">
        <v>74.671839108426497</v>
      </c>
      <c r="BS98" s="25">
        <v>0.12363090514453801</v>
      </c>
      <c r="BT98" s="32">
        <v>74.810574918658006</v>
      </c>
      <c r="BV98" s="37">
        <f>14561778/1000000</f>
        <v>14.561778</v>
      </c>
      <c r="BW98" s="1">
        <v>1000</v>
      </c>
      <c r="BX98" s="1">
        <v>750</v>
      </c>
      <c r="BY98" s="21">
        <v>9.6122861547498104</v>
      </c>
      <c r="BZ98" s="21">
        <v>38.759851868799601</v>
      </c>
      <c r="CA98" s="45">
        <v>7.3523773016276301E-6</v>
      </c>
      <c r="CB98" s="45">
        <v>5.9307818029798003E-3</v>
      </c>
      <c r="CC98" s="45">
        <v>1.24613741136774E-4</v>
      </c>
      <c r="CD98" s="45">
        <v>3.3677042613719797E-4</v>
      </c>
      <c r="CE98" s="45">
        <v>2.6778342260820397E-4</v>
      </c>
      <c r="CF98" s="45">
        <v>2.7100998572654098E-4</v>
      </c>
      <c r="CG98" s="23"/>
      <c r="CH98" s="21">
        <v>35.509632110595703</v>
      </c>
      <c r="CI98" s="21"/>
      <c r="CJ98" s="38"/>
      <c r="CL98" s="88">
        <v>21.5400004100925</v>
      </c>
      <c r="CM98" s="1">
        <v>-209.05096762084199</v>
      </c>
      <c r="CN98" s="20">
        <v>27.424526426676199</v>
      </c>
    </row>
    <row r="99" spans="2:92" s="1" customFormat="1" x14ac:dyDescent="0.25">
      <c r="B99" s="2" t="s">
        <v>327</v>
      </c>
      <c r="C99" s="1" t="s">
        <v>315</v>
      </c>
      <c r="D99" s="14"/>
      <c r="E99" s="19">
        <v>31.6</v>
      </c>
      <c r="F99" s="1">
        <v>60.2</v>
      </c>
      <c r="G99" s="21">
        <v>4.6499999999999986</v>
      </c>
      <c r="H99" s="21">
        <v>1.62</v>
      </c>
      <c r="I99" s="21">
        <v>9.5470000000000006</v>
      </c>
      <c r="J99" s="21">
        <v>8.7050000000000001</v>
      </c>
      <c r="K99" s="21">
        <f t="shared" si="24"/>
        <v>1.0641256517777047</v>
      </c>
      <c r="L99" s="1">
        <v>9.5449999999999999</v>
      </c>
      <c r="M99" s="14">
        <v>11</v>
      </c>
      <c r="N99" s="24">
        <v>109.693773274493</v>
      </c>
      <c r="O99" s="23">
        <v>-4.0341368033637002</v>
      </c>
      <c r="P99" s="23">
        <v>228.04512962339101</v>
      </c>
      <c r="Q99" s="23">
        <f t="shared" si="22"/>
        <v>67.784528364704627</v>
      </c>
      <c r="R99" s="23">
        <f t="shared" si="23"/>
        <v>160.26060125868639</v>
      </c>
      <c r="S99" s="25">
        <f t="shared" si="25"/>
        <v>2.0789250184031927</v>
      </c>
      <c r="T99" s="21">
        <v>-1.9489040160907101</v>
      </c>
      <c r="U99" s="21">
        <v>-28.948129609348499</v>
      </c>
      <c r="V99" s="21">
        <v>-23.2379798731689</v>
      </c>
      <c r="W99" s="21">
        <f t="shared" si="29"/>
        <v>49.733022617540136</v>
      </c>
      <c r="X99" s="32">
        <f t="shared" si="33"/>
        <v>29.72417278836366</v>
      </c>
      <c r="Y99" s="35">
        <f t="shared" si="28"/>
        <v>1.480098138296414</v>
      </c>
      <c r="Z99" s="25">
        <f t="shared" si="32"/>
        <v>-5.4432609929009272E-2</v>
      </c>
      <c r="AA99" s="25">
        <f t="shared" si="26"/>
        <v>3.0770130493964039</v>
      </c>
      <c r="AB99" s="25">
        <f t="shared" si="30"/>
        <v>-2.6296562875233055E-2</v>
      </c>
      <c r="AC99" s="25">
        <f t="shared" si="27"/>
        <v>-0.39059712746633152</v>
      </c>
      <c r="AD99" s="34">
        <f t="shared" si="31"/>
        <v>-0.3135500741867957</v>
      </c>
      <c r="AE99" s="2"/>
      <c r="AF99" s="24">
        <v>4.6961857869892301</v>
      </c>
      <c r="AG99" s="23">
        <v>37.194512910803198</v>
      </c>
      <c r="AH99" s="23">
        <v>3.8183239796264901</v>
      </c>
      <c r="AI99" s="23">
        <v>27.070135390967302</v>
      </c>
      <c r="AJ99" s="23">
        <v>7.0096674417735798</v>
      </c>
      <c r="AK99" s="23">
        <v>46.632378560858299</v>
      </c>
      <c r="AL99" s="23">
        <v>43.562147176764199</v>
      </c>
      <c r="AM99" s="23">
        <v>74.924162158668693</v>
      </c>
      <c r="AN99" s="23">
        <v>7.2752402344782796</v>
      </c>
      <c r="AO99" s="23">
        <v>12.751031559537299</v>
      </c>
      <c r="AP99" s="23">
        <v>7.3044554685689098</v>
      </c>
      <c r="AQ99" s="23">
        <v>12.539081395058499</v>
      </c>
      <c r="AR99" s="23">
        <v>2.6991252946073598</v>
      </c>
      <c r="AS99" s="23">
        <v>21.111659098204999</v>
      </c>
      <c r="AT99" s="23">
        <v>14.0115519440168</v>
      </c>
      <c r="AU99" s="23">
        <v>9.3405562847481693</v>
      </c>
      <c r="AV99" s="23">
        <v>2.6788371362249501</v>
      </c>
      <c r="AW99" s="23">
        <v>-1.88335192526074</v>
      </c>
      <c r="AX99" s="23">
        <v>4.5679756130882696</v>
      </c>
      <c r="AY99" s="23">
        <v>-1.5065612606549901</v>
      </c>
      <c r="AZ99" s="23">
        <v>3.9113000087994299</v>
      </c>
      <c r="BA99" s="23">
        <v>-2.2064827178636399</v>
      </c>
      <c r="BB99" s="23">
        <v>1.9740780523470201</v>
      </c>
      <c r="BC99" s="23">
        <v>-0.81350798688032899</v>
      </c>
      <c r="BD99" s="23">
        <v>1.9164024682348599</v>
      </c>
      <c r="BE99" s="23">
        <v>-1.4595156143842001E-2</v>
      </c>
      <c r="BF99" s="23">
        <v>1.9212830653692401</v>
      </c>
      <c r="BG99" s="23">
        <v>-0.33761906981418799</v>
      </c>
      <c r="BH99" s="23">
        <v>0.367179864811229</v>
      </c>
      <c r="BI99" s="23">
        <v>-0.15958657901369799</v>
      </c>
      <c r="BJ99" s="23">
        <v>0.23744344371314399</v>
      </c>
      <c r="BK99" s="36">
        <v>-3.3887008180162097E-2</v>
      </c>
      <c r="BL99" s="2"/>
      <c r="BM99" s="35">
        <v>0.12255412742852401</v>
      </c>
      <c r="BN99" s="21">
        <v>49.876912118354198</v>
      </c>
      <c r="BO99" s="25">
        <v>0.12464545907755201</v>
      </c>
      <c r="BP99" s="21">
        <v>46.971478510074597</v>
      </c>
      <c r="BQ99" s="25">
        <v>0.12260342585823</v>
      </c>
      <c r="BR99" s="21">
        <v>74.075732252342405</v>
      </c>
      <c r="BS99" s="25">
        <v>0.124661123687381</v>
      </c>
      <c r="BT99" s="32">
        <v>70.366195151874507</v>
      </c>
      <c r="BV99" s="37">
        <f>14621357/1000000</f>
        <v>14.621357</v>
      </c>
      <c r="BW99" s="1">
        <v>1000</v>
      </c>
      <c r="BX99" s="1">
        <v>750</v>
      </c>
      <c r="BY99" s="21">
        <v>12.2886250336666</v>
      </c>
      <c r="BZ99" s="21">
        <v>49.378895908801503</v>
      </c>
      <c r="CA99" s="45">
        <v>1.0512322142341799E-5</v>
      </c>
      <c r="CB99" s="45">
        <v>6.4863942941804503E-3</v>
      </c>
      <c r="CC99" s="45">
        <v>1.5476623697080499E-4</v>
      </c>
      <c r="CD99" s="45">
        <v>4.1293691454588399E-4</v>
      </c>
      <c r="CE99" s="45">
        <v>4.2616653946584299E-4</v>
      </c>
      <c r="CF99" s="45">
        <v>4.3277816591292E-4</v>
      </c>
      <c r="CG99" s="23"/>
      <c r="CH99" s="21">
        <v>14.4290924072265</v>
      </c>
      <c r="CI99" s="21"/>
      <c r="CJ99" s="38"/>
      <c r="CL99" s="88">
        <v>-0.73059470147488403</v>
      </c>
      <c r="CM99" s="1">
        <v>-246.801325938377</v>
      </c>
      <c r="CN99" s="20">
        <v>-19.970167696972101</v>
      </c>
    </row>
    <row r="100" spans="2:92" s="1" customFormat="1" x14ac:dyDescent="0.25">
      <c r="B100" s="2" t="s">
        <v>328</v>
      </c>
      <c r="C100" s="1" t="s">
        <v>316</v>
      </c>
      <c r="D100" s="14"/>
      <c r="E100" s="19">
        <v>21.2</v>
      </c>
      <c r="F100" s="1">
        <v>49.4</v>
      </c>
      <c r="G100" s="21">
        <v>5.5499999999999954</v>
      </c>
      <c r="H100" s="21">
        <v>0.42</v>
      </c>
      <c r="I100" s="21">
        <v>10.365</v>
      </c>
      <c r="J100" s="21">
        <v>9.3780000000000001</v>
      </c>
      <c r="K100" s="21">
        <f t="shared" si="24"/>
        <v>1.0492410998161721</v>
      </c>
      <c r="L100" s="1">
        <v>8.81</v>
      </c>
      <c r="M100" s="14">
        <v>11</v>
      </c>
      <c r="N100" s="24">
        <v>107.911563493369</v>
      </c>
      <c r="O100" s="23">
        <v>-12.123279867143699</v>
      </c>
      <c r="P100" s="23">
        <v>236.239709937328</v>
      </c>
      <c r="Q100" s="23">
        <f t="shared" si="22"/>
        <v>82.954047125929307</v>
      </c>
      <c r="R100" s="23">
        <f t="shared" si="23"/>
        <v>153.28566281139871</v>
      </c>
      <c r="S100" s="25">
        <f t="shared" si="25"/>
        <v>2.189197360224</v>
      </c>
      <c r="T100" s="21">
        <v>2.6458903777268499</v>
      </c>
      <c r="U100" s="21">
        <v>-12.107013916922901</v>
      </c>
      <c r="V100" s="21">
        <v>-27.6374274616261</v>
      </c>
      <c r="W100" s="21">
        <f t="shared" si="29"/>
        <v>52.224830907018656</v>
      </c>
      <c r="X100" s="32">
        <f t="shared" si="33"/>
        <v>35.114353614782274</v>
      </c>
      <c r="Y100" s="35">
        <f t="shared" si="28"/>
        <v>1.4560507808179319</v>
      </c>
      <c r="Z100" s="25">
        <f t="shared" si="32"/>
        <v>-0.1635794213815982</v>
      </c>
      <c r="AA100" s="25">
        <f t="shared" si="26"/>
        <v>3.1875825257187111</v>
      </c>
      <c r="AB100" s="25">
        <f t="shared" si="30"/>
        <v>3.5701000205455885E-2</v>
      </c>
      <c r="AC100" s="25">
        <f t="shared" si="27"/>
        <v>-0.16335994490703862</v>
      </c>
      <c r="AD100" s="34">
        <f t="shared" si="31"/>
        <v>-0.37291182272391427</v>
      </c>
      <c r="AE100" s="2"/>
      <c r="AF100" s="24">
        <v>4.5714631604176397</v>
      </c>
      <c r="AG100" s="23">
        <v>33.039710555377297</v>
      </c>
      <c r="AH100" s="23">
        <v>4.2393260984273402</v>
      </c>
      <c r="AI100" s="23">
        <v>28.860032263138802</v>
      </c>
      <c r="AJ100" s="23">
        <v>7.8842958086451098</v>
      </c>
      <c r="AK100" s="23">
        <v>56.135638763043403</v>
      </c>
      <c r="AL100" s="23">
        <v>41.7259180644227</v>
      </c>
      <c r="AM100" s="23">
        <v>72.924843410708206</v>
      </c>
      <c r="AN100" s="23">
        <v>7.1050389617861702</v>
      </c>
      <c r="AO100" s="23">
        <v>12.1424063494281</v>
      </c>
      <c r="AP100" s="23">
        <v>7.9461933986899496</v>
      </c>
      <c r="AQ100" s="23">
        <v>14.1524492590747</v>
      </c>
      <c r="AR100" s="23">
        <v>2.6098260000459299</v>
      </c>
      <c r="AS100" s="23">
        <v>22.5911948165746</v>
      </c>
      <c r="AT100" s="23">
        <v>13.6408006169963</v>
      </c>
      <c r="AU100" s="23">
        <v>8.7797985628457695</v>
      </c>
      <c r="AV100" s="23">
        <v>2.77762522919291</v>
      </c>
      <c r="AW100" s="23">
        <v>-1.3180834441540801</v>
      </c>
      <c r="AX100" s="23">
        <v>4.93957301228685</v>
      </c>
      <c r="AY100" s="23">
        <v>-2.0717701459529301</v>
      </c>
      <c r="AZ100" s="23">
        <v>2.6551344735422302</v>
      </c>
      <c r="BA100" s="23">
        <v>-1.31325581418356</v>
      </c>
      <c r="BB100" s="23">
        <v>2.1226313983826901</v>
      </c>
      <c r="BC100" s="23">
        <v>-1.0677518178462</v>
      </c>
      <c r="BD100" s="23">
        <v>1.60177982331274</v>
      </c>
      <c r="BE100" s="23">
        <v>-6.2665987978523296E-2</v>
      </c>
      <c r="BF100" s="23">
        <v>1.8809415115730701</v>
      </c>
      <c r="BG100" s="23">
        <v>7.7451440861833198E-2</v>
      </c>
      <c r="BH100" s="23">
        <v>0.46165721174770402</v>
      </c>
      <c r="BI100" s="23">
        <v>-9.5951800002397794E-2</v>
      </c>
      <c r="BJ100" s="23">
        <v>0.18023302537304201</v>
      </c>
      <c r="BK100" s="36">
        <v>-7.5027034860177802E-3</v>
      </c>
      <c r="BL100" s="2"/>
      <c r="BM100" s="35">
        <v>0.12340403709450901</v>
      </c>
      <c r="BN100" s="21">
        <v>48.772047319580999</v>
      </c>
      <c r="BO100" s="25">
        <v>0.124679102381269</v>
      </c>
      <c r="BP100" s="21">
        <v>58.437539830948097</v>
      </c>
      <c r="BQ100" s="25">
        <v>0.123403515765327</v>
      </c>
      <c r="BR100" s="21">
        <v>74.4169645595248</v>
      </c>
      <c r="BS100" s="25">
        <v>0.124663653476753</v>
      </c>
      <c r="BT100" s="32">
        <v>70.164208457212595</v>
      </c>
      <c r="BV100" s="37">
        <f>14290111/1000000</f>
        <v>14.290111</v>
      </c>
      <c r="BW100" s="1">
        <v>1000</v>
      </c>
      <c r="BX100" s="1">
        <v>750</v>
      </c>
      <c r="BY100" s="21">
        <v>8.9700851334449503</v>
      </c>
      <c r="BZ100" s="21">
        <v>35.363894960402902</v>
      </c>
      <c r="CA100" s="45">
        <v>9.7748380899795398E-6</v>
      </c>
      <c r="CB100" s="45">
        <v>6.1548016241399902E-3</v>
      </c>
      <c r="CC100" s="45">
        <v>1.4046227620681599E-4</v>
      </c>
      <c r="CD100" s="45">
        <v>3.3511714944655399E-4</v>
      </c>
      <c r="CE100" s="45">
        <v>3.4191396904504099E-4</v>
      </c>
      <c r="CF100" s="45">
        <v>3.1781905036474899E-4</v>
      </c>
      <c r="CG100" s="23"/>
      <c r="CH100" s="21">
        <v>25.164321899413999</v>
      </c>
      <c r="CI100" s="21"/>
      <c r="CJ100" s="38"/>
      <c r="CL100" s="88">
        <v>6.3071208976042898</v>
      </c>
      <c r="CM100" s="1">
        <v>-236.05992072955399</v>
      </c>
      <c r="CN100" s="20">
        <v>-17.8170858380449</v>
      </c>
    </row>
    <row r="101" spans="2:92" s="1" customFormat="1" x14ac:dyDescent="0.25">
      <c r="B101" s="2" t="s">
        <v>329</v>
      </c>
      <c r="C101" s="1" t="s">
        <v>317</v>
      </c>
      <c r="D101" s="14"/>
      <c r="E101" s="19">
        <v>26.8</v>
      </c>
      <c r="F101" s="1">
        <v>78.2</v>
      </c>
      <c r="G101" s="21">
        <v>2.8499999999999948</v>
      </c>
      <c r="H101" s="21">
        <v>0.6</v>
      </c>
      <c r="I101" s="21">
        <v>2.1480000000000001</v>
      </c>
      <c r="J101" s="21">
        <v>2.1019999999999999</v>
      </c>
      <c r="K101" s="21">
        <f t="shared" si="24"/>
        <v>1.9126948893929625</v>
      </c>
      <c r="L101" s="1">
        <v>41.448</v>
      </c>
      <c r="M101" s="14">
        <v>11</v>
      </c>
      <c r="N101" s="24">
        <v>112.76867709762</v>
      </c>
      <c r="O101" s="23">
        <v>-8.46480817389563</v>
      </c>
      <c r="P101" s="23">
        <v>242.036595037186</v>
      </c>
      <c r="Q101" s="23">
        <f t="shared" si="22"/>
        <v>79.452675365988625</v>
      </c>
      <c r="R101" s="23">
        <f t="shared" si="23"/>
        <v>162.58391967119735</v>
      </c>
      <c r="S101" s="25">
        <f t="shared" si="25"/>
        <v>2.1463104938941791</v>
      </c>
      <c r="T101" s="21">
        <v>0.21229794744982</v>
      </c>
      <c r="U101" s="21">
        <v>-20.263772366240101</v>
      </c>
      <c r="V101" s="21">
        <v>-5.9257670416115404</v>
      </c>
      <c r="W101" s="21">
        <f t="shared" si="29"/>
        <v>50.953254615464559</v>
      </c>
      <c r="X101" s="32">
        <f t="shared" si="33"/>
        <v>32.826720006444347</v>
      </c>
      <c r="Y101" s="35">
        <f t="shared" si="28"/>
        <v>1.5215878171377295</v>
      </c>
      <c r="Z101" s="25">
        <f t="shared" si="32"/>
        <v>-0.114215660973461</v>
      </c>
      <c r="AA101" s="25">
        <f t="shared" si="26"/>
        <v>3.2657998993042465</v>
      </c>
      <c r="AB101" s="25">
        <f t="shared" si="30"/>
        <v>2.8645363123605324E-3</v>
      </c>
      <c r="AC101" s="25">
        <f t="shared" si="27"/>
        <v>-0.27341909079089355</v>
      </c>
      <c r="AD101" s="34">
        <f t="shared" si="31"/>
        <v>-7.9956377690828667E-2</v>
      </c>
      <c r="AE101" s="2"/>
      <c r="AF101" s="24">
        <v>4.6967637325383</v>
      </c>
      <c r="AG101" s="23">
        <v>36.693620537427897</v>
      </c>
      <c r="AH101" s="23">
        <v>4.2874282501099099</v>
      </c>
      <c r="AI101" s="23">
        <v>34.075742554474999</v>
      </c>
      <c r="AJ101" s="23">
        <v>8.0079301446696398</v>
      </c>
      <c r="AK101" s="23">
        <v>49.421785264641898</v>
      </c>
      <c r="AL101" s="23">
        <v>46.8408869505814</v>
      </c>
      <c r="AM101" s="23">
        <v>76.882747097603499</v>
      </c>
      <c r="AN101" s="23">
        <v>7.6971518519212303</v>
      </c>
      <c r="AO101" s="23">
        <v>13.051583085509501</v>
      </c>
      <c r="AP101" s="23">
        <v>7.9266534686214198</v>
      </c>
      <c r="AQ101" s="23">
        <v>13.137022935298999</v>
      </c>
      <c r="AR101" s="23">
        <v>2.4099626094055102</v>
      </c>
      <c r="AS101" s="23">
        <v>16.150944920651401</v>
      </c>
      <c r="AT101" s="23">
        <v>14.4952259079461</v>
      </c>
      <c r="AU101" s="23">
        <v>13.219486039767601</v>
      </c>
      <c r="AV101" s="23">
        <v>2.4379861834496199</v>
      </c>
      <c r="AW101" s="23">
        <v>-1.78255870288708</v>
      </c>
      <c r="AX101" s="23">
        <v>2.4592374323719399</v>
      </c>
      <c r="AY101" s="23">
        <v>-1.4503696690224701</v>
      </c>
      <c r="AZ101" s="23">
        <v>3.3562573184845998</v>
      </c>
      <c r="BA101" s="23">
        <v>-1.4544700486425299</v>
      </c>
      <c r="BB101" s="23">
        <v>2.90358565622356</v>
      </c>
      <c r="BC101" s="23">
        <v>-0.50829266844745102</v>
      </c>
      <c r="BD101" s="23">
        <v>1.58385586556826</v>
      </c>
      <c r="BE101" s="23">
        <v>-9.7976452426633207E-2</v>
      </c>
      <c r="BF101" s="23">
        <v>1.5716863186102099</v>
      </c>
      <c r="BG101" s="23">
        <v>-1.0387387110530701E-2</v>
      </c>
      <c r="BH101" s="23">
        <v>0.498199394204559</v>
      </c>
      <c r="BI101" s="23">
        <v>-8.0296133777533696E-2</v>
      </c>
      <c r="BJ101" s="23">
        <v>0.20953449673521701</v>
      </c>
      <c r="BK101" s="36">
        <v>0.20615134570544699</v>
      </c>
      <c r="BL101" s="2"/>
      <c r="BM101" s="35">
        <v>0.1226272407157</v>
      </c>
      <c r="BN101" s="21">
        <v>48.5049911234807</v>
      </c>
      <c r="BO101" s="25">
        <v>0.121793384267587</v>
      </c>
      <c r="BP101" s="21">
        <v>52.871573086528699</v>
      </c>
      <c r="BQ101" s="25">
        <v>0.122631147668401</v>
      </c>
      <c r="BR101" s="21">
        <v>77.566696235737197</v>
      </c>
      <c r="BS101" s="25">
        <v>0.121778106129641</v>
      </c>
      <c r="BT101" s="32">
        <v>81.882150439929205</v>
      </c>
      <c r="BV101" s="37">
        <f>14579715/1000000</f>
        <v>14.579715</v>
      </c>
      <c r="BW101" s="1">
        <v>1000</v>
      </c>
      <c r="BX101" s="1">
        <v>750</v>
      </c>
      <c r="BY101" s="21">
        <v>9.6628123503054102</v>
      </c>
      <c r="BZ101" s="21">
        <v>39.3016889208008</v>
      </c>
      <c r="CA101" s="45">
        <v>1.16063710928977E-5</v>
      </c>
      <c r="CB101" s="45">
        <v>5.3046585273981497E-3</v>
      </c>
      <c r="CC101" s="45">
        <v>1.7817722069068899E-4</v>
      </c>
      <c r="CD101" s="45">
        <v>5.5784108795241597E-4</v>
      </c>
      <c r="CE101" s="45">
        <v>3.9817980082867998E-4</v>
      </c>
      <c r="CF101" s="45">
        <v>4.7038459532282003E-4</v>
      </c>
      <c r="CG101" s="23"/>
      <c r="CH101" s="21">
        <v>30.192649841308501</v>
      </c>
      <c r="CI101" s="21"/>
      <c r="CJ101" s="38"/>
      <c r="CL101" s="88">
        <v>2.7686700159662898</v>
      </c>
      <c r="CM101" s="1">
        <v>-250.379236293644</v>
      </c>
      <c r="CN101" s="20">
        <v>0.93106617157088301</v>
      </c>
    </row>
    <row r="102" spans="2:92" s="1" customFormat="1" x14ac:dyDescent="0.25">
      <c r="B102" s="2" t="s">
        <v>330</v>
      </c>
      <c r="C102" s="1" t="s">
        <v>318</v>
      </c>
      <c r="D102" s="14"/>
      <c r="E102" s="19">
        <v>43.6</v>
      </c>
      <c r="F102" s="1">
        <v>39.799999999999997</v>
      </c>
      <c r="G102" s="21">
        <v>1.6499999999999979</v>
      </c>
      <c r="H102" s="21">
        <v>0.22</v>
      </c>
      <c r="I102" s="21">
        <v>0.879</v>
      </c>
      <c r="J102" s="21">
        <v>0.871</v>
      </c>
      <c r="K102" s="21">
        <f t="shared" si="24"/>
        <v>-0.14137933967114574</v>
      </c>
      <c r="L102" s="1">
        <v>101.361</v>
      </c>
      <c r="M102" s="14">
        <v>11</v>
      </c>
      <c r="N102" s="24">
        <v>112.058567277397</v>
      </c>
      <c r="O102" s="23">
        <v>-8.4240032867160792</v>
      </c>
      <c r="P102" s="23">
        <v>240.78253444097101</v>
      </c>
      <c r="Q102" s="23">
        <f t="shared" si="22"/>
        <v>75.764174681831406</v>
      </c>
      <c r="R102" s="23">
        <f t="shared" si="23"/>
        <v>165.0183597591396</v>
      </c>
      <c r="S102" s="25">
        <f t="shared" si="25"/>
        <v>2.1487204440595997</v>
      </c>
      <c r="T102" s="21">
        <v>1.02698230593421</v>
      </c>
      <c r="U102" s="21">
        <v>-25.243102512737401</v>
      </c>
      <c r="V102" s="21">
        <v>-2.2193262458139298</v>
      </c>
      <c r="W102" s="21">
        <f t="shared" si="29"/>
        <v>51.23591165876897</v>
      </c>
      <c r="X102" s="32">
        <f t="shared" si="33"/>
        <v>31.465809950765077</v>
      </c>
      <c r="Y102" s="35">
        <f t="shared" si="28"/>
        <v>1.5120063049741539</v>
      </c>
      <c r="Z102" s="25">
        <f t="shared" si="32"/>
        <v>-0.11366508061010057</v>
      </c>
      <c r="AA102" s="25">
        <f t="shared" si="26"/>
        <v>3.2488788590449786</v>
      </c>
      <c r="AB102" s="25">
        <f t="shared" si="30"/>
        <v>1.3857072773610523E-2</v>
      </c>
      <c r="AC102" s="25">
        <f t="shared" si="27"/>
        <v>-0.34060519497706054</v>
      </c>
      <c r="AD102" s="34">
        <f t="shared" si="31"/>
        <v>-2.9945370157718729E-2</v>
      </c>
      <c r="AE102" s="2"/>
      <c r="AF102" s="24">
        <v>5.1192457020107902</v>
      </c>
      <c r="AG102" s="23">
        <v>33.461649055298999</v>
      </c>
      <c r="AH102" s="23">
        <v>4.1819218156967901</v>
      </c>
      <c r="AI102" s="23">
        <v>28.0513456789676</v>
      </c>
      <c r="AJ102" s="23">
        <v>7.4676573371417296</v>
      </c>
      <c r="AK102" s="23">
        <v>53.053201632811103</v>
      </c>
      <c r="AL102" s="23">
        <v>41.927917172528502</v>
      </c>
      <c r="AM102" s="23">
        <v>75.465560891380093</v>
      </c>
      <c r="AN102" s="23">
        <v>7.0048852393976198</v>
      </c>
      <c r="AO102" s="23">
        <v>12.9735629729977</v>
      </c>
      <c r="AP102" s="23">
        <v>7.1417723707379297</v>
      </c>
      <c r="AQ102" s="23">
        <v>12.6756067861788</v>
      </c>
      <c r="AR102" s="23">
        <v>2.8359459364506798</v>
      </c>
      <c r="AS102" s="23">
        <v>29.0874210096772</v>
      </c>
      <c r="AT102" s="23">
        <v>14.815090267681599</v>
      </c>
      <c r="AU102" s="23">
        <v>10.542325079278401</v>
      </c>
      <c r="AV102" s="23">
        <v>3.7476819532894901</v>
      </c>
      <c r="AW102" s="23">
        <v>-1.83023949512814</v>
      </c>
      <c r="AX102" s="23">
        <v>4.7118021033943496</v>
      </c>
      <c r="AY102" s="23">
        <v>-2.1780767072081102</v>
      </c>
      <c r="AZ102" s="23">
        <v>2.9328854523677199</v>
      </c>
      <c r="BA102" s="23">
        <v>-1.80020622830941</v>
      </c>
      <c r="BB102" s="23">
        <v>2.88796300251308</v>
      </c>
      <c r="BC102" s="23">
        <v>-1.4683234248328101</v>
      </c>
      <c r="BD102" s="23">
        <v>1.83692721936244</v>
      </c>
      <c r="BE102" s="23">
        <v>-0.261675228012061</v>
      </c>
      <c r="BF102" s="23">
        <v>1.8888914794698699</v>
      </c>
      <c r="BG102" s="23">
        <v>-3.4112556066071498E-2</v>
      </c>
      <c r="BH102" s="23">
        <v>0.52721458272700195</v>
      </c>
      <c r="BI102" s="23">
        <v>-0.166131909342493</v>
      </c>
      <c r="BJ102" s="23">
        <v>0.42359710449612098</v>
      </c>
      <c r="BK102" s="36">
        <v>4.4959012661916598E-2</v>
      </c>
      <c r="BL102" s="2"/>
      <c r="BM102" s="35">
        <v>0.12539876623896301</v>
      </c>
      <c r="BN102" s="21">
        <v>45.5899592757006</v>
      </c>
      <c r="BO102" s="25">
        <v>0.125966553177839</v>
      </c>
      <c r="BP102" s="21">
        <v>42.042092703215999</v>
      </c>
      <c r="BQ102" s="25">
        <v>0.12538070260578299</v>
      </c>
      <c r="BR102" s="21">
        <v>67.437854341313994</v>
      </c>
      <c r="BS102" s="25">
        <v>0.12598538342747001</v>
      </c>
      <c r="BT102" s="32">
        <v>65.451667287174899</v>
      </c>
      <c r="BV102" s="37">
        <f>14162926/1000000</f>
        <v>14.162926000000001</v>
      </c>
      <c r="BW102" s="1">
        <v>1000</v>
      </c>
      <c r="BX102" s="1">
        <v>750</v>
      </c>
      <c r="BY102" s="21">
        <v>9.0989605900835393</v>
      </c>
      <c r="BZ102" s="21">
        <v>36.884203460405502</v>
      </c>
      <c r="CA102" s="45">
        <v>1.0782236776434299E-5</v>
      </c>
      <c r="CB102" s="45">
        <v>7.7682345804608102E-3</v>
      </c>
      <c r="CC102" s="45">
        <v>1.60168696090145E-4</v>
      </c>
      <c r="CD102" s="45">
        <v>5.1198102560671098E-4</v>
      </c>
      <c r="CE102" s="45">
        <v>3.2482762680302601E-4</v>
      </c>
      <c r="CF102" s="45">
        <v>4.60236508681731E-4</v>
      </c>
      <c r="CG102" s="23"/>
      <c r="CH102" s="21">
        <v>28.1199226379394</v>
      </c>
      <c r="CI102" s="21"/>
      <c r="CJ102" s="38"/>
      <c r="CL102" s="88">
        <v>3.5710312985224699</v>
      </c>
      <c r="CM102" s="1">
        <v>-254.12827402907499</v>
      </c>
      <c r="CN102" s="20">
        <v>4.6044533765575704</v>
      </c>
    </row>
    <row r="103" spans="2:92" s="1" customFormat="1" x14ac:dyDescent="0.25">
      <c r="B103" s="2" t="s">
        <v>331</v>
      </c>
      <c r="C103" s="1" t="s">
        <v>319</v>
      </c>
      <c r="D103" s="14"/>
      <c r="E103" s="19">
        <v>48.4</v>
      </c>
      <c r="F103" s="1">
        <v>66.2</v>
      </c>
      <c r="G103" s="21">
        <v>13.649999999999944</v>
      </c>
      <c r="H103" s="21">
        <v>1.26</v>
      </c>
      <c r="I103" s="21">
        <v>4.2140000000000004</v>
      </c>
      <c r="J103" s="21">
        <v>4.0410000000000004</v>
      </c>
      <c r="K103" s="21">
        <f t="shared" si="24"/>
        <v>0.66226466576401433</v>
      </c>
      <c r="L103" s="1">
        <v>21.292999999999999</v>
      </c>
      <c r="M103" s="14">
        <v>11</v>
      </c>
      <c r="N103" s="24">
        <v>97.890164673140305</v>
      </c>
      <c r="O103" s="23">
        <v>-56.327891154604501</v>
      </c>
      <c r="P103" s="23">
        <v>201.40922185985701</v>
      </c>
      <c r="Q103" s="23">
        <f t="shared" si="22"/>
        <v>72.022347255238174</v>
      </c>
      <c r="R103" s="23">
        <f t="shared" si="23"/>
        <v>129.38687460461887</v>
      </c>
      <c r="S103" s="25">
        <f t="shared" si="25"/>
        <v>2.0575021252888024</v>
      </c>
      <c r="T103" s="21">
        <v>11.6778871617998</v>
      </c>
      <c r="U103" s="21">
        <v>-6.5434310844659098</v>
      </c>
      <c r="V103" s="21">
        <v>-15.452256522798899</v>
      </c>
      <c r="W103" s="21">
        <f t="shared" si="29"/>
        <v>61.870074776769826</v>
      </c>
      <c r="X103" s="32">
        <f t="shared" si="33"/>
        <v>35.759210323225517</v>
      </c>
      <c r="Y103" s="35">
        <f t="shared" si="28"/>
        <v>1.3208320414658834</v>
      </c>
      <c r="Z103" s="25">
        <f t="shared" si="32"/>
        <v>-0.76003226385028833</v>
      </c>
      <c r="AA103" s="25">
        <f t="shared" si="26"/>
        <v>2.7176147324656026</v>
      </c>
      <c r="AB103" s="25">
        <f t="shared" si="30"/>
        <v>0.15756973738302985</v>
      </c>
      <c r="AC103" s="25">
        <f t="shared" si="27"/>
        <v>-8.8290518933592965E-2</v>
      </c>
      <c r="AD103" s="34">
        <f t="shared" si="31"/>
        <v>-0.20849730508077446</v>
      </c>
      <c r="AE103" s="2"/>
      <c r="AF103" s="24">
        <v>3.7188967731989799</v>
      </c>
      <c r="AG103" s="23">
        <v>35.248641924889398</v>
      </c>
      <c r="AH103" s="23">
        <v>3.90676350778309</v>
      </c>
      <c r="AI103" s="23">
        <v>28.177349420071501</v>
      </c>
      <c r="AJ103" s="23">
        <v>7.0568955045633102</v>
      </c>
      <c r="AK103" s="23">
        <v>46.447856108373898</v>
      </c>
      <c r="AL103" s="23">
        <v>34.036790625086503</v>
      </c>
      <c r="AM103" s="23">
        <v>52.387626577355697</v>
      </c>
      <c r="AN103" s="23">
        <v>6.8346753225671302</v>
      </c>
      <c r="AO103" s="23">
        <v>11.3331249721336</v>
      </c>
      <c r="AP103" s="23">
        <v>7.1446356545081802</v>
      </c>
      <c r="AQ103" s="23">
        <v>13.809615399153101</v>
      </c>
      <c r="AR103" s="23">
        <v>2.3211402103988599</v>
      </c>
      <c r="AS103" s="23">
        <v>18.743722898651701</v>
      </c>
      <c r="AT103" s="23">
        <v>12.587203382576901</v>
      </c>
      <c r="AU103" s="23">
        <v>7.4887650144414897</v>
      </c>
      <c r="AV103" s="23">
        <v>2.7571295766113599</v>
      </c>
      <c r="AW103" s="23">
        <v>-0.98869605815388695</v>
      </c>
      <c r="AX103" s="23">
        <v>5.0613936155032402</v>
      </c>
      <c r="AY103" s="23">
        <v>-2.6272525969181899</v>
      </c>
      <c r="AZ103" s="23">
        <v>4.6074144368335901</v>
      </c>
      <c r="BA103" s="23">
        <v>-1.6206141487069301</v>
      </c>
      <c r="BB103" s="23">
        <v>2.1498215950970199</v>
      </c>
      <c r="BC103" s="23">
        <v>-0.97932741919579502</v>
      </c>
      <c r="BD103" s="23">
        <v>1.6397438559016599</v>
      </c>
      <c r="BE103" s="23">
        <v>-0.291801249389189</v>
      </c>
      <c r="BF103" s="23">
        <v>1.86664671362441</v>
      </c>
      <c r="BG103" s="23">
        <v>-6.9467378704499594E-2</v>
      </c>
      <c r="BH103" s="23">
        <v>0.26018870173609498</v>
      </c>
      <c r="BI103" s="23">
        <v>-0.135599177699464</v>
      </c>
      <c r="BJ103" s="23">
        <v>0.32103031231708601</v>
      </c>
      <c r="BK103" s="36">
        <v>-0.174722954603477</v>
      </c>
      <c r="BL103" s="2"/>
      <c r="BM103" s="35">
        <v>0.123821336819191</v>
      </c>
      <c r="BN103" s="21">
        <v>58.385140309178503</v>
      </c>
      <c r="BO103" s="25">
        <v>0.12452443153214</v>
      </c>
      <c r="BP103" s="21">
        <v>45.100548500109298</v>
      </c>
      <c r="BQ103" s="25">
        <v>0.123833271144713</v>
      </c>
      <c r="BR103" s="21">
        <v>72.881084574250494</v>
      </c>
      <c r="BS103" s="25">
        <v>0.1245404121562</v>
      </c>
      <c r="BT103" s="32">
        <v>70.982966226895897</v>
      </c>
      <c r="BV103" s="37">
        <f>14372973/1000000</f>
        <v>14.372973</v>
      </c>
      <c r="BW103" s="1">
        <v>1000</v>
      </c>
      <c r="BX103" s="1">
        <v>750</v>
      </c>
      <c r="BY103" s="21">
        <v>8.9291504121946197</v>
      </c>
      <c r="BZ103" s="21">
        <v>35.886547611602097</v>
      </c>
      <c r="CA103" s="45">
        <v>7.4712876423338799E-6</v>
      </c>
      <c r="CB103" s="45">
        <v>5.5984641166126397E-3</v>
      </c>
      <c r="CC103" s="45">
        <v>1.22075248889324E-4</v>
      </c>
      <c r="CD103" s="45">
        <v>3.4480945646071299E-4</v>
      </c>
      <c r="CE103" s="45">
        <v>2.63199331309471E-4</v>
      </c>
      <c r="CF103" s="45">
        <v>2.6623471454463701E-4</v>
      </c>
      <c r="CG103" s="23"/>
      <c r="CH103" s="21">
        <v>39.397899627685497</v>
      </c>
      <c r="CI103" s="21"/>
      <c r="CJ103" s="38"/>
      <c r="CL103" s="88">
        <v>28.688910290490298</v>
      </c>
      <c r="CM103" s="1">
        <v>-199.25578689111299</v>
      </c>
      <c r="CN103" s="20">
        <v>30.1755884280769</v>
      </c>
    </row>
    <row r="104" spans="2:92" s="1" customFormat="1" x14ac:dyDescent="0.25">
      <c r="B104" s="2" t="s">
        <v>332</v>
      </c>
      <c r="C104" s="1" t="s">
        <v>320</v>
      </c>
      <c r="D104" s="14"/>
      <c r="E104" s="19">
        <v>33.200000000000003</v>
      </c>
      <c r="F104" s="1">
        <v>69.8</v>
      </c>
      <c r="G104" s="21">
        <v>9.4499999999999922</v>
      </c>
      <c r="H104" s="21">
        <v>1.3</v>
      </c>
      <c r="I104" s="21">
        <v>4.9960000000000004</v>
      </c>
      <c r="J104" s="21">
        <v>4.7539999999999996</v>
      </c>
      <c r="K104" s="21">
        <f t="shared" si="24"/>
        <v>1.3618331118265865</v>
      </c>
      <c r="L104" s="1">
        <v>17.995999999999999</v>
      </c>
      <c r="M104" s="14">
        <v>11</v>
      </c>
      <c r="N104" s="24">
        <v>105.333192048049</v>
      </c>
      <c r="O104" s="23">
        <v>-35.459667810863998</v>
      </c>
      <c r="P104" s="23">
        <v>216.54314153257201</v>
      </c>
      <c r="Q104" s="23">
        <f t="shared" si="22"/>
        <v>72.614517306044746</v>
      </c>
      <c r="R104" s="23">
        <f t="shared" si="23"/>
        <v>143.92862422652726</v>
      </c>
      <c r="S104" s="25">
        <f t="shared" si="25"/>
        <v>2.0557920758139869</v>
      </c>
      <c r="T104" s="21">
        <v>4.7395942342197399</v>
      </c>
      <c r="U104" s="21">
        <v>-14.4308509432969</v>
      </c>
      <c r="V104" s="21">
        <v>-15.875352269960199</v>
      </c>
      <c r="W104" s="21">
        <f t="shared" si="29"/>
        <v>55.945087048153283</v>
      </c>
      <c r="X104" s="32">
        <f t="shared" si="33"/>
        <v>33.533510593833427</v>
      </c>
      <c r="Y104" s="35">
        <f t="shared" si="28"/>
        <v>1.4212608136016054</v>
      </c>
      <c r="Z104" s="25">
        <f t="shared" si="32"/>
        <v>-0.47845731571413719</v>
      </c>
      <c r="AA104" s="25">
        <f t="shared" si="26"/>
        <v>2.9218167182671206</v>
      </c>
      <c r="AB104" s="25">
        <f t="shared" si="30"/>
        <v>6.395134740050247E-2</v>
      </c>
      <c r="AC104" s="25">
        <f t="shared" si="27"/>
        <v>-0.19471547907973549</v>
      </c>
      <c r="AD104" s="34">
        <f t="shared" si="31"/>
        <v>-0.21420613621130305</v>
      </c>
      <c r="AE104" s="2"/>
      <c r="AF104" s="24">
        <v>4.3638421445992304</v>
      </c>
      <c r="AG104" s="23">
        <v>37.010090649690703</v>
      </c>
      <c r="AH104" s="23">
        <v>3.65884213762084</v>
      </c>
      <c r="AI104" s="23">
        <v>26.025697804937199</v>
      </c>
      <c r="AJ104" s="23">
        <v>7.3318129053436696</v>
      </c>
      <c r="AK104" s="23">
        <v>48.634715906448697</v>
      </c>
      <c r="AL104" s="23">
        <v>40.857511599491701</v>
      </c>
      <c r="AM104" s="23">
        <v>64.655970977568799</v>
      </c>
      <c r="AN104" s="23">
        <v>7.3109227137070798</v>
      </c>
      <c r="AO104" s="23">
        <v>11.939226650367599</v>
      </c>
      <c r="AP104" s="23">
        <v>7.1210512151765899</v>
      </c>
      <c r="AQ104" s="23">
        <v>12.5229919939285</v>
      </c>
      <c r="AR104" s="23">
        <v>2.6272480619185399</v>
      </c>
      <c r="AS104" s="23">
        <v>19.674419369178398</v>
      </c>
      <c r="AT104" s="23">
        <v>13.143366767527301</v>
      </c>
      <c r="AU104" s="23">
        <v>9.2269345430849796</v>
      </c>
      <c r="AV104" s="23">
        <v>2.42538325319966</v>
      </c>
      <c r="AW104" s="23">
        <v>-1.4962740608126299</v>
      </c>
      <c r="AX104" s="23">
        <v>4.7300715468727699</v>
      </c>
      <c r="AY104" s="23">
        <v>-1.5539001706392399</v>
      </c>
      <c r="AZ104" s="23">
        <v>4.4965306060152601</v>
      </c>
      <c r="BA104" s="23">
        <v>-2.17426359245274</v>
      </c>
      <c r="BB104" s="23">
        <v>1.8064435290043801</v>
      </c>
      <c r="BC104" s="23">
        <v>-1.2388313392833901</v>
      </c>
      <c r="BD104" s="23">
        <v>1.7554910924016001</v>
      </c>
      <c r="BE104" s="23">
        <v>-3.4372049420969102E-3</v>
      </c>
      <c r="BF104" s="23">
        <v>1.9957237861688899</v>
      </c>
      <c r="BG104" s="23">
        <v>-0.266005996768368</v>
      </c>
      <c r="BH104" s="23">
        <v>0.29386683674460401</v>
      </c>
      <c r="BI104" s="23">
        <v>-0.25208500082477098</v>
      </c>
      <c r="BJ104" s="23">
        <v>0.162354583919324</v>
      </c>
      <c r="BK104" s="36">
        <v>-9.9732568200314994E-2</v>
      </c>
      <c r="BL104" s="2"/>
      <c r="BM104" s="35">
        <v>0.123424255322673</v>
      </c>
      <c r="BN104" s="21">
        <v>49.295029839256401</v>
      </c>
      <c r="BO104" s="25">
        <v>0.12470915099461299</v>
      </c>
      <c r="BP104" s="21">
        <v>47.471258813728298</v>
      </c>
      <c r="BQ104" s="25">
        <v>0.12341667007766199</v>
      </c>
      <c r="BR104" s="21">
        <v>74.679074012064106</v>
      </c>
      <c r="BS104" s="25">
        <v>0.124712622098409</v>
      </c>
      <c r="BT104" s="32">
        <v>70.266632046209494</v>
      </c>
      <c r="BV104" s="37">
        <f>14404529/1000000</f>
        <v>14.404529</v>
      </c>
      <c r="BW104" s="1">
        <v>1000</v>
      </c>
      <c r="BX104" s="1">
        <v>750</v>
      </c>
      <c r="BY104" s="21">
        <v>12.7240054023887</v>
      </c>
      <c r="BZ104" s="21">
        <v>53.005998936400097</v>
      </c>
      <c r="CA104" s="45">
        <v>1.0263851932271E-5</v>
      </c>
      <c r="CB104" s="45">
        <v>6.4078866354201798E-3</v>
      </c>
      <c r="CC104" s="45">
        <v>1.6199683608501201E-4</v>
      </c>
      <c r="CD104" s="45">
        <v>4.5724646418198101E-4</v>
      </c>
      <c r="CE104" s="45">
        <v>4.1941544550680503E-4</v>
      </c>
      <c r="CF104" s="45">
        <v>4.0366423319919599E-4</v>
      </c>
      <c r="CG104" s="23"/>
      <c r="CH104" s="21">
        <v>14.2033882141113</v>
      </c>
      <c r="CI104" s="21"/>
      <c r="CJ104" s="38"/>
      <c r="CL104" s="88">
        <v>15.4484139131006</v>
      </c>
      <c r="CM104" s="1">
        <v>-221.65008130885201</v>
      </c>
      <c r="CN104" s="20">
        <v>12.848397043552</v>
      </c>
    </row>
    <row r="105" spans="2:92" s="1" customFormat="1" x14ac:dyDescent="0.25">
      <c r="B105" s="2" t="s">
        <v>333</v>
      </c>
      <c r="C105" s="1" t="s">
        <v>334</v>
      </c>
      <c r="D105" s="14"/>
      <c r="E105" s="19">
        <v>57.2</v>
      </c>
      <c r="F105" s="1">
        <v>54.2</v>
      </c>
      <c r="G105" s="21">
        <v>10.049999999999994</v>
      </c>
      <c r="H105" s="21">
        <v>1.66</v>
      </c>
      <c r="I105" s="21">
        <v>6.0460000000000003</v>
      </c>
      <c r="J105" s="21">
        <v>5.6980000000000004</v>
      </c>
      <c r="K105" s="21">
        <f t="shared" si="24"/>
        <v>-0.1116152254905796</v>
      </c>
      <c r="L105" s="1">
        <v>14.922000000000001</v>
      </c>
      <c r="M105" s="14">
        <v>11</v>
      </c>
      <c r="N105" s="24">
        <v>103.737699073893</v>
      </c>
      <c r="O105" s="23">
        <v>-36.965265773153597</v>
      </c>
      <c r="P105" s="23">
        <v>209.36739260055199</v>
      </c>
      <c r="Q105" s="23">
        <f t="shared" si="22"/>
        <v>59.763331625102659</v>
      </c>
      <c r="R105" s="23">
        <f t="shared" si="23"/>
        <v>149.60406097544936</v>
      </c>
      <c r="S105" s="25">
        <f t="shared" si="25"/>
        <v>2.0182382534956584</v>
      </c>
      <c r="T105" s="21">
        <v>8.89155146535178</v>
      </c>
      <c r="U105" s="21">
        <v>-29.465506079725401</v>
      </c>
      <c r="V105" s="21">
        <v>-17.6857649358728</v>
      </c>
      <c r="W105" s="21">
        <f t="shared" si="29"/>
        <v>57.982404152392995</v>
      </c>
      <c r="X105" s="32">
        <f t="shared" si="33"/>
        <v>28.544717915613518</v>
      </c>
      <c r="Y105" s="35">
        <f t="shared" si="28"/>
        <v>1.3997328260940189</v>
      </c>
      <c r="Z105" s="25">
        <f t="shared" si="32"/>
        <v>-0.4987723497811245</v>
      </c>
      <c r="AA105" s="25">
        <f t="shared" si="26"/>
        <v>2.8249943342965351</v>
      </c>
      <c r="AB105" s="25">
        <f t="shared" si="30"/>
        <v>0.11997370842100562</v>
      </c>
      <c r="AC105" s="25">
        <f t="shared" si="27"/>
        <v>-0.39757808844291309</v>
      </c>
      <c r="AD105" s="34">
        <f t="shared" si="31"/>
        <v>-0.23863403522850798</v>
      </c>
      <c r="AE105" s="2"/>
      <c r="AF105" s="24">
        <v>4.2587667107278397</v>
      </c>
      <c r="AG105" s="23">
        <v>33.530072847932502</v>
      </c>
      <c r="AH105" s="23">
        <v>3.8003181686143699</v>
      </c>
      <c r="AI105" s="23">
        <v>26.2676605530397</v>
      </c>
      <c r="AJ105" s="23">
        <v>6.5204294191787504</v>
      </c>
      <c r="AK105" s="23">
        <v>42.8728418719598</v>
      </c>
      <c r="AL105" s="23">
        <v>38.365433913566498</v>
      </c>
      <c r="AM105" s="23">
        <v>62.257815045737303</v>
      </c>
      <c r="AN105" s="23">
        <v>7.3097486271401904</v>
      </c>
      <c r="AO105" s="23">
        <v>12.6827809246477</v>
      </c>
      <c r="AP105" s="23">
        <v>7.6391352331887497</v>
      </c>
      <c r="AQ105" s="23">
        <v>14.615552006555401</v>
      </c>
      <c r="AR105" s="23">
        <v>2.6427169362696898</v>
      </c>
      <c r="AS105" s="23">
        <v>23.625797858202599</v>
      </c>
      <c r="AT105" s="23">
        <v>13.5075503316805</v>
      </c>
      <c r="AU105" s="23">
        <v>7.5825517858741804</v>
      </c>
      <c r="AV105" s="23">
        <v>2.44686411534401</v>
      </c>
      <c r="AW105" s="23">
        <v>-1.39810626025375</v>
      </c>
      <c r="AX105" s="23">
        <v>5.5660519369608901</v>
      </c>
      <c r="AY105" s="23">
        <v>-2.2632719248141</v>
      </c>
      <c r="AZ105" s="23">
        <v>4.6389060869782304</v>
      </c>
      <c r="BA105" s="23">
        <v>-2.2889493715604998</v>
      </c>
      <c r="BB105" s="23">
        <v>1.92641638597676</v>
      </c>
      <c r="BC105" s="23">
        <v>-1.1775399221832199</v>
      </c>
      <c r="BD105" s="23">
        <v>1.7131002964559601</v>
      </c>
      <c r="BE105" s="23">
        <v>-0.19166346384001601</v>
      </c>
      <c r="BF105" s="23">
        <v>1.91797805500288</v>
      </c>
      <c r="BG105" s="23">
        <v>-0.22538498631270401</v>
      </c>
      <c r="BH105" s="23">
        <v>0.35979690572780199</v>
      </c>
      <c r="BI105" s="23">
        <v>-6.4716495465750895E-2</v>
      </c>
      <c r="BJ105" s="23">
        <v>0.20404680763770999</v>
      </c>
      <c r="BK105" s="36">
        <v>-0.186354810500998</v>
      </c>
      <c r="BL105" s="2"/>
      <c r="BM105" s="35">
        <v>0.124869384290623</v>
      </c>
      <c r="BN105" s="21">
        <v>60.455713501444798</v>
      </c>
      <c r="BO105" s="25">
        <v>0.124451591969272</v>
      </c>
      <c r="BP105" s="21">
        <v>50.204806124413501</v>
      </c>
      <c r="BQ105" s="25">
        <v>0.12489801816837</v>
      </c>
      <c r="BR105" s="21">
        <v>68.867587919731307</v>
      </c>
      <c r="BS105" s="25">
        <v>0.12446113167563699</v>
      </c>
      <c r="BT105" s="32">
        <v>71.776077919630694</v>
      </c>
      <c r="BV105" s="37">
        <f>14285764/1000000</f>
        <v>14.285764</v>
      </c>
      <c r="BW105" s="1">
        <v>1000</v>
      </c>
      <c r="BX105" s="1">
        <v>750</v>
      </c>
      <c r="BY105" s="21">
        <v>12.166355160223</v>
      </c>
      <c r="BZ105" s="21">
        <v>48.492051323202404</v>
      </c>
      <c r="CA105" s="45">
        <v>1.0137685886397801E-5</v>
      </c>
      <c r="CB105" s="45">
        <v>5.9482500006970201E-3</v>
      </c>
      <c r="CC105" s="45">
        <v>1.3801154659496401E-4</v>
      </c>
      <c r="CD105" s="45">
        <v>3.9232649164733902E-4</v>
      </c>
      <c r="CE105" s="45">
        <v>3.5402463354967701E-4</v>
      </c>
      <c r="CF105" s="45">
        <v>3.56242444087115E-4</v>
      </c>
      <c r="CG105" s="23"/>
      <c r="CH105" s="21">
        <v>14.1190223693847</v>
      </c>
      <c r="CI105" s="21"/>
      <c r="CJ105" s="38"/>
      <c r="CL105" s="88">
        <v>20.055061728844102</v>
      </c>
      <c r="CM105" s="1">
        <v>-230.390253902192</v>
      </c>
      <c r="CN105" s="20">
        <v>12.2575789510124</v>
      </c>
    </row>
    <row r="106" spans="2:92" s="1" customFormat="1" x14ac:dyDescent="0.25">
      <c r="B106" s="2" t="s">
        <v>335</v>
      </c>
      <c r="C106" s="1" t="s">
        <v>338</v>
      </c>
      <c r="D106" s="14"/>
      <c r="E106" s="19">
        <v>20.399999999999999</v>
      </c>
      <c r="F106" s="1">
        <v>45.8</v>
      </c>
      <c r="G106" s="21">
        <v>2.5500000000000003</v>
      </c>
      <c r="H106" s="21">
        <v>0.14000000000000001</v>
      </c>
      <c r="I106" s="21">
        <v>7.9189999999999996</v>
      </c>
      <c r="J106" s="21">
        <v>7.3310000000000004</v>
      </c>
      <c r="K106" s="21">
        <f t="shared" si="24"/>
        <v>0.94505116270390643</v>
      </c>
      <c r="L106" s="1">
        <v>11.454000000000001</v>
      </c>
      <c r="M106" s="20">
        <v>11</v>
      </c>
      <c r="N106" s="24">
        <v>108.749085219028</v>
      </c>
      <c r="O106" s="23">
        <v>1.69090485833743</v>
      </c>
      <c r="P106" s="23">
        <v>235.140843764301</v>
      </c>
      <c r="Q106" s="23">
        <f t="shared" si="22"/>
        <v>80.99776126471528</v>
      </c>
      <c r="R106" s="23">
        <f t="shared" si="23"/>
        <v>154.14308249958572</v>
      </c>
      <c r="S106" s="25">
        <f t="shared" si="25"/>
        <v>2.1622328435288578</v>
      </c>
      <c r="T106" s="21">
        <v>-2.1801597922987499</v>
      </c>
      <c r="U106" s="21">
        <v>-14.064634230381399</v>
      </c>
      <c r="V106" s="21">
        <v>-22.756447887610999</v>
      </c>
      <c r="W106" s="21">
        <f t="shared" si="29"/>
        <v>49.04638250830147</v>
      </c>
      <c r="X106" s="32">
        <f t="shared" si="33"/>
        <v>34.446487461746671</v>
      </c>
      <c r="Y106" s="35">
        <f t="shared" si="28"/>
        <v>1.4673514618860244</v>
      </c>
      <c r="Z106" s="25">
        <f t="shared" si="32"/>
        <v>2.2815380109123692E-2</v>
      </c>
      <c r="AA106" s="25">
        <f t="shared" si="26"/>
        <v>3.1727555238900451</v>
      </c>
      <c r="AB106" s="25">
        <f t="shared" si="30"/>
        <v>-2.9416897180620672E-2</v>
      </c>
      <c r="AC106" s="25">
        <f t="shared" si="27"/>
        <v>-0.18977411678706557</v>
      </c>
      <c r="AD106" s="34">
        <f t="shared" si="31"/>
        <v>-0.30705276286201377</v>
      </c>
      <c r="AE106" s="2"/>
      <c r="AF106" s="24">
        <v>4.6210985605390302</v>
      </c>
      <c r="AG106" s="23">
        <v>30.952577592590501</v>
      </c>
      <c r="AH106" s="23">
        <v>3.9882860803777</v>
      </c>
      <c r="AI106" s="23">
        <v>26.1667927143863</v>
      </c>
      <c r="AJ106" s="23">
        <v>7.8300146471738801</v>
      </c>
      <c r="AK106" s="23">
        <v>57.917818692115802</v>
      </c>
      <c r="AL106" s="23">
        <v>43.492545689942901</v>
      </c>
      <c r="AM106" s="23">
        <v>76.3605377201377</v>
      </c>
      <c r="AN106" s="23">
        <v>6.95119376227826</v>
      </c>
      <c r="AO106" s="23">
        <v>12.0948885922627</v>
      </c>
      <c r="AP106" s="23">
        <v>6.9928895204021098</v>
      </c>
      <c r="AQ106" s="23">
        <v>12.0355346237628</v>
      </c>
      <c r="AR106" s="23">
        <v>2.56946668448145</v>
      </c>
      <c r="AS106" s="23">
        <v>23.257050961375999</v>
      </c>
      <c r="AT106" s="23">
        <v>14.1891131047689</v>
      </c>
      <c r="AU106" s="23">
        <v>8.7212701620572801</v>
      </c>
      <c r="AV106" s="23">
        <v>2.26394662861401</v>
      </c>
      <c r="AW106" s="23">
        <v>-1.02633166390492</v>
      </c>
      <c r="AX106" s="23">
        <v>4.11050523923765</v>
      </c>
      <c r="AY106" s="23">
        <v>-2.4972942840874599</v>
      </c>
      <c r="AZ106" s="23">
        <v>2.7081634569875201</v>
      </c>
      <c r="BA106" s="23">
        <v>-1.3487888712381699</v>
      </c>
      <c r="BB106" s="23">
        <v>2.6735464713472799</v>
      </c>
      <c r="BC106" s="23">
        <v>-0.87949104615352403</v>
      </c>
      <c r="BD106" s="23">
        <v>1.52238288151301</v>
      </c>
      <c r="BE106" s="23">
        <v>-0.130297590341696</v>
      </c>
      <c r="BF106" s="23">
        <v>1.8471768199862699</v>
      </c>
      <c r="BG106" s="23">
        <v>-6.1144578688297903E-2</v>
      </c>
      <c r="BH106" s="23">
        <v>0.49955525468786899</v>
      </c>
      <c r="BI106" s="23">
        <v>2.2664693039227E-2</v>
      </c>
      <c r="BJ106" s="23">
        <v>0.282895812149217</v>
      </c>
      <c r="BK106" s="36">
        <v>6.9078640569233504E-2</v>
      </c>
      <c r="BL106" s="2"/>
      <c r="BM106" s="35">
        <v>0.123836374785022</v>
      </c>
      <c r="BN106" s="21">
        <v>45.907263233696298</v>
      </c>
      <c r="BO106" s="25">
        <v>0.12603381228295699</v>
      </c>
      <c r="BP106" s="21">
        <v>51.2501089098417</v>
      </c>
      <c r="BQ106" s="25">
        <v>0.123835838635403</v>
      </c>
      <c r="BR106" s="21">
        <v>73.397444132412602</v>
      </c>
      <c r="BS106" s="25">
        <v>0.126030411723729</v>
      </c>
      <c r="BT106" s="32">
        <v>65.093534898944</v>
      </c>
      <c r="BV106" s="37">
        <f>14281156/1000000</f>
        <v>14.281155999999999</v>
      </c>
      <c r="BW106" s="1">
        <v>1000</v>
      </c>
      <c r="BX106" s="1">
        <v>750</v>
      </c>
      <c r="BY106" s="21">
        <v>12.263733566000599</v>
      </c>
      <c r="BZ106" s="21">
        <v>48.457457830404799</v>
      </c>
      <c r="CA106" s="45">
        <v>9.2752623507797505E-6</v>
      </c>
      <c r="CB106" s="45">
        <v>5.6124517530915302E-3</v>
      </c>
      <c r="CC106" s="45">
        <v>1.4841983769518899E-4</v>
      </c>
      <c r="CD106" s="45">
        <v>3.4519900387060298E-4</v>
      </c>
      <c r="CE106" s="45">
        <v>3.9626554858411902E-4</v>
      </c>
      <c r="CF106" s="45">
        <v>3.3195559656828402E-4</v>
      </c>
      <c r="CG106" s="23"/>
      <c r="CH106" s="21">
        <v>14.127452850341699</v>
      </c>
      <c r="CI106" s="21"/>
      <c r="CJ106" s="38"/>
      <c r="CL106" s="88">
        <v>-2.6908130595166502</v>
      </c>
      <c r="CM106" s="1">
        <v>-237.380347049362</v>
      </c>
      <c r="CN106" s="20">
        <v>-24.126148459058701</v>
      </c>
    </row>
    <row r="107" spans="2:92" s="2" customFormat="1" x14ac:dyDescent="0.25">
      <c r="B107" s="2" t="s">
        <v>336</v>
      </c>
      <c r="C107" s="2" t="s">
        <v>339</v>
      </c>
      <c r="D107" s="20"/>
      <c r="E107" s="19">
        <v>30.8</v>
      </c>
      <c r="F107" s="2">
        <v>29</v>
      </c>
      <c r="G107" s="21">
        <v>13.049999999999999</v>
      </c>
      <c r="H107" s="21">
        <v>1.7</v>
      </c>
      <c r="I107" s="21">
        <v>0.376</v>
      </c>
      <c r="J107" s="21">
        <v>0.374</v>
      </c>
      <c r="K107" s="21">
        <f t="shared" si="24"/>
        <v>-6.696910818586467E-2</v>
      </c>
      <c r="L107" s="2">
        <v>256.00900000000001</v>
      </c>
      <c r="M107" s="20">
        <v>11</v>
      </c>
      <c r="N107" s="24">
        <v>95.653327838164799</v>
      </c>
      <c r="O107" s="23">
        <v>-55.792613508545898</v>
      </c>
      <c r="P107" s="23">
        <v>197.721213965212</v>
      </c>
      <c r="Q107" s="23">
        <f t="shared" si="22"/>
        <v>61.907468875328895</v>
      </c>
      <c r="R107" s="23">
        <f t="shared" si="23"/>
        <v>135.8137450898831</v>
      </c>
      <c r="S107" s="25">
        <f t="shared" si="25"/>
        <v>2.0670604822002132</v>
      </c>
      <c r="T107" s="21">
        <v>7.9376110609357502</v>
      </c>
      <c r="U107" s="21">
        <v>-20.103770270913898</v>
      </c>
      <c r="V107" s="21">
        <v>-5.3213572788593897</v>
      </c>
      <c r="W107" s="21">
        <f t="shared" si="29"/>
        <v>60.44694018218236</v>
      </c>
      <c r="X107" s="32">
        <f t="shared" si="33"/>
        <v>31.310483904990178</v>
      </c>
      <c r="Y107" s="35">
        <f t="shared" si="28"/>
        <v>1.2906504009197475</v>
      </c>
      <c r="Z107" s="25">
        <f t="shared" si="32"/>
        <v>-0.7528097623011758</v>
      </c>
      <c r="AA107" s="25">
        <f t="shared" si="26"/>
        <v>2.6678524400770716</v>
      </c>
      <c r="AB107" s="25">
        <f t="shared" si="30"/>
        <v>0.10710219006153819</v>
      </c>
      <c r="AC107" s="25">
        <f t="shared" si="27"/>
        <v>-0.27126018243769801</v>
      </c>
      <c r="AD107" s="34">
        <f t="shared" si="31"/>
        <v>-7.1801076456190105E-2</v>
      </c>
      <c r="AF107" s="24">
        <v>4.6538029745537601</v>
      </c>
      <c r="AG107" s="23">
        <v>39.623721421090899</v>
      </c>
      <c r="AH107" s="23">
        <v>2.6283048846270698</v>
      </c>
      <c r="AI107" s="23">
        <v>17.550486605983501</v>
      </c>
      <c r="AJ107" s="23">
        <v>6.5540667666081003</v>
      </c>
      <c r="AK107" s="23">
        <v>44.626828092727102</v>
      </c>
      <c r="AL107" s="23">
        <v>33.907360483248901</v>
      </c>
      <c r="AM107" s="23">
        <v>54.603996463028501</v>
      </c>
      <c r="AN107" s="23">
        <v>7.02470216513957</v>
      </c>
      <c r="AO107" s="23">
        <v>10.589030643738599</v>
      </c>
      <c r="AP107" s="23">
        <v>6.8292006981379503</v>
      </c>
      <c r="AQ107" s="23">
        <v>12.1667127780765</v>
      </c>
      <c r="AR107" s="23">
        <v>2.4744973913897099</v>
      </c>
      <c r="AS107" s="23">
        <v>27.3085966759512</v>
      </c>
      <c r="AT107" s="23">
        <v>12.9885574032461</v>
      </c>
      <c r="AU107" s="23">
        <v>4.4858577191430404</v>
      </c>
      <c r="AV107" s="23">
        <v>2.81915136657034</v>
      </c>
      <c r="AW107" s="23">
        <v>-1.27465202149734</v>
      </c>
      <c r="AX107" s="23">
        <v>5.0039205125963697</v>
      </c>
      <c r="AY107" s="23">
        <v>-3.11329867758504</v>
      </c>
      <c r="AZ107" s="23">
        <v>3.91343501939</v>
      </c>
      <c r="BA107" s="23">
        <v>-1.3224434959298199</v>
      </c>
      <c r="BB107" s="23">
        <v>2.0377677965689101</v>
      </c>
      <c r="BC107" s="23">
        <v>-0.92790828659993596</v>
      </c>
      <c r="BD107" s="23">
        <v>1.69362632726808</v>
      </c>
      <c r="BE107" s="23">
        <v>-0.21251106773584899</v>
      </c>
      <c r="BF107" s="23">
        <v>1.5208378467541599</v>
      </c>
      <c r="BG107" s="23">
        <v>0.127989204375342</v>
      </c>
      <c r="BH107" s="23">
        <v>0.358495813677981</v>
      </c>
      <c r="BI107" s="23">
        <v>-6.3920996176087097E-2</v>
      </c>
      <c r="BJ107" s="23">
        <v>0.131784445005446</v>
      </c>
      <c r="BK107" s="36">
        <v>-4.29635996379319E-2</v>
      </c>
      <c r="BM107" s="35">
        <v>0.12598971500150999</v>
      </c>
      <c r="BN107" s="21">
        <v>57.004553380163003</v>
      </c>
      <c r="BO107" s="25">
        <v>0.12241299114080301</v>
      </c>
      <c r="BP107" s="21">
        <v>49.943917633248098</v>
      </c>
      <c r="BQ107" s="25">
        <v>0.12598632291533801</v>
      </c>
      <c r="BR107" s="21">
        <v>64.406410373260897</v>
      </c>
      <c r="BS107" s="25">
        <v>0.122397781830592</v>
      </c>
      <c r="BT107" s="32">
        <v>80.334383130592997</v>
      </c>
      <c r="BV107" s="37">
        <f>14609370/1000000</f>
        <v>14.60937</v>
      </c>
      <c r="BW107" s="2">
        <v>1000</v>
      </c>
      <c r="BX107" s="2">
        <v>750</v>
      </c>
      <c r="BY107" s="21">
        <v>10.1765835800276</v>
      </c>
      <c r="BZ107" s="21">
        <v>40.870466196009403</v>
      </c>
      <c r="CA107" s="45">
        <v>7.4796245322656897E-6</v>
      </c>
      <c r="CB107" s="45">
        <v>5.0622533780713703E-3</v>
      </c>
      <c r="CC107" s="45">
        <v>1.30653830241995E-4</v>
      </c>
      <c r="CD107" s="45">
        <v>4.2907190613877599E-4</v>
      </c>
      <c r="CE107" s="45">
        <v>2.5702016076755498E-4</v>
      </c>
      <c r="CF107" s="45">
        <v>2.62352037292861E-4</v>
      </c>
      <c r="CG107" s="23"/>
      <c r="CH107" s="21">
        <v>30.194801330566399</v>
      </c>
      <c r="CI107" s="21"/>
      <c r="CJ107" s="38"/>
      <c r="CL107" s="88">
        <v>24.7869803405166</v>
      </c>
      <c r="CM107" s="2">
        <v>-209.15316743842001</v>
      </c>
      <c r="CN107" s="20">
        <v>39.872891367603202</v>
      </c>
    </row>
    <row r="108" spans="2:92" s="2" customFormat="1" x14ac:dyDescent="0.25">
      <c r="B108" s="2" t="s">
        <v>337</v>
      </c>
      <c r="C108" s="2" t="s">
        <v>340</v>
      </c>
      <c r="D108" s="20"/>
      <c r="E108" s="19">
        <v>23.6</v>
      </c>
      <c r="F108" s="2">
        <v>21.8</v>
      </c>
      <c r="G108" s="21">
        <v>9.7499999999999929</v>
      </c>
      <c r="H108" s="21">
        <v>1.3</v>
      </c>
      <c r="I108" s="21">
        <v>3.952</v>
      </c>
      <c r="J108" s="21">
        <v>3.7989999999999999</v>
      </c>
      <c r="K108" s="21">
        <f t="shared" si="24"/>
        <v>-6.696910818586467E-2</v>
      </c>
      <c r="L108" s="2">
        <v>22.684000000000001</v>
      </c>
      <c r="M108" s="20">
        <v>11</v>
      </c>
      <c r="N108" s="24">
        <v>100.122680528752</v>
      </c>
      <c r="O108" s="23">
        <v>-38.6018641925913</v>
      </c>
      <c r="P108" s="23">
        <v>198.37255171865101</v>
      </c>
      <c r="Q108" s="23">
        <f t="shared" si="22"/>
        <v>53.728782551790616</v>
      </c>
      <c r="R108" s="23">
        <f t="shared" si="23"/>
        <v>144.64376916686038</v>
      </c>
      <c r="S108" s="25">
        <f t="shared" si="25"/>
        <v>1.981294854183262</v>
      </c>
      <c r="T108" s="21">
        <v>9.4711982672072299</v>
      </c>
      <c r="U108" s="21">
        <v>-31.824653203105498</v>
      </c>
      <c r="V108" s="21">
        <v>-11.597103622321701</v>
      </c>
      <c r="W108" s="21">
        <f t="shared" si="29"/>
        <v>58.87595968222152</v>
      </c>
      <c r="X108" s="32">
        <f t="shared" si="33"/>
        <v>27.084786723918029</v>
      </c>
      <c r="Y108" s="35">
        <f t="shared" si="28"/>
        <v>1.3509553790352773</v>
      </c>
      <c r="Z108" s="25">
        <f t="shared" si="32"/>
        <v>-0.52085497308269579</v>
      </c>
      <c r="AA108" s="25">
        <f t="shared" si="26"/>
        <v>2.676640940713793</v>
      </c>
      <c r="AB108" s="25">
        <f t="shared" si="30"/>
        <v>0.12779488301173525</v>
      </c>
      <c r="AC108" s="25">
        <f t="shared" si="27"/>
        <v>-0.42941006177237973</v>
      </c>
      <c r="AD108" s="34">
        <f t="shared" si="31"/>
        <v>-0.15647972504397636</v>
      </c>
      <c r="AF108" s="24">
        <v>4.4757817853966699</v>
      </c>
      <c r="AG108" s="23">
        <v>27.814923548867899</v>
      </c>
      <c r="AH108" s="23">
        <v>2.8525347457725498</v>
      </c>
      <c r="AI108" s="23">
        <v>16.9110219935949</v>
      </c>
      <c r="AJ108" s="23">
        <v>6.7094011629085903</v>
      </c>
      <c r="AK108" s="23">
        <v>46.953238067052403</v>
      </c>
      <c r="AL108" s="23">
        <v>38.839164589739802</v>
      </c>
      <c r="AM108" s="23">
        <v>64.458947502554807</v>
      </c>
      <c r="AN108" s="23">
        <v>6.6736384782848699</v>
      </c>
      <c r="AO108" s="23">
        <v>11.2483412012056</v>
      </c>
      <c r="AP108" s="23">
        <v>7.16353257618157</v>
      </c>
      <c r="AQ108" s="23">
        <v>12.419429681728801</v>
      </c>
      <c r="AR108" s="23">
        <v>2.5006527058420498</v>
      </c>
      <c r="AS108" s="23">
        <v>29.5932379089571</v>
      </c>
      <c r="AT108" s="23">
        <v>12.914380722222401</v>
      </c>
      <c r="AU108" s="23">
        <v>2.70186138023077</v>
      </c>
      <c r="AV108" s="23">
        <v>2.8631053460790299</v>
      </c>
      <c r="AW108" s="23">
        <v>-1.6227283508794099</v>
      </c>
      <c r="AX108" s="23">
        <v>4.8680902349313397</v>
      </c>
      <c r="AY108" s="23">
        <v>-2.7537158713251801</v>
      </c>
      <c r="AZ108" s="23">
        <v>3.2825748936196701</v>
      </c>
      <c r="BA108" s="23">
        <v>-1.3983378905899799</v>
      </c>
      <c r="BB108" s="23">
        <v>2.4795762808892401</v>
      </c>
      <c r="BC108" s="23">
        <v>-1.02729664586624</v>
      </c>
      <c r="BD108" s="23">
        <v>1.5581826628072</v>
      </c>
      <c r="BE108" s="23">
        <v>-0.33821197581728402</v>
      </c>
      <c r="BF108" s="23">
        <v>1.6979294870486401</v>
      </c>
      <c r="BG108" s="23">
        <v>4.8627518405723298E-3</v>
      </c>
      <c r="BH108" s="23">
        <v>0.331830326794815</v>
      </c>
      <c r="BI108" s="23">
        <v>-3.1918254181632501E-2</v>
      </c>
      <c r="BJ108" s="23">
        <v>0.141369373734097</v>
      </c>
      <c r="BK108" s="36">
        <v>3.9623946960995401E-2</v>
      </c>
      <c r="BM108" s="35">
        <v>0.124493294014681</v>
      </c>
      <c r="BN108" s="21">
        <v>49.531985667145101</v>
      </c>
      <c r="BO108" s="25">
        <v>0.12067965737598201</v>
      </c>
      <c r="BP108" s="21">
        <v>62.893428984963499</v>
      </c>
      <c r="BQ108" s="25">
        <v>0.124518730097908</v>
      </c>
      <c r="BR108" s="21">
        <v>70.1788139852396</v>
      </c>
      <c r="BS108" s="25">
        <v>0.120682091519178</v>
      </c>
      <c r="BT108" s="32">
        <v>79.968918383792598</v>
      </c>
      <c r="BV108" s="37">
        <f>14869556/1000000</f>
        <v>14.869555999999999</v>
      </c>
      <c r="BW108" s="2">
        <v>1000</v>
      </c>
      <c r="BX108" s="2">
        <v>750</v>
      </c>
      <c r="BY108" s="21">
        <v>10.177957699861199</v>
      </c>
      <c r="BZ108" s="21">
        <v>41.026959148402703</v>
      </c>
      <c r="CA108" s="45">
        <v>8.3153111522123406E-6</v>
      </c>
      <c r="CB108" s="45">
        <v>5.2725942064257804E-3</v>
      </c>
      <c r="CC108" s="45">
        <v>1.40377793365437E-4</v>
      </c>
      <c r="CD108" s="45">
        <v>3.7673305226701599E-4</v>
      </c>
      <c r="CE108" s="45">
        <v>3.22438977698737E-4</v>
      </c>
      <c r="CF108" s="45">
        <v>2.9002349129029597E-4</v>
      </c>
      <c r="CG108" s="23"/>
      <c r="CH108" s="21">
        <v>35.851406097412102</v>
      </c>
      <c r="CI108" s="21"/>
      <c r="CJ108" s="38"/>
      <c r="CL108" s="88">
        <v>21.128961253369798</v>
      </c>
      <c r="CM108" s="2">
        <v>-222.75140451696501</v>
      </c>
      <c r="CN108" s="20">
        <v>19.6719504482449</v>
      </c>
    </row>
    <row r="109" spans="2:92" s="2" customFormat="1" x14ac:dyDescent="0.25">
      <c r="B109" s="2" t="s">
        <v>341</v>
      </c>
      <c r="C109" s="2" t="s">
        <v>342</v>
      </c>
      <c r="D109" s="20"/>
      <c r="E109" s="19">
        <v>49.2</v>
      </c>
      <c r="F109" s="2">
        <v>53</v>
      </c>
      <c r="G109" s="21">
        <v>6.7499999999999858</v>
      </c>
      <c r="H109" s="21">
        <v>1.1399999999999999</v>
      </c>
      <c r="I109" s="21">
        <v>10.92</v>
      </c>
      <c r="J109" s="21">
        <v>9.83</v>
      </c>
      <c r="K109" s="21">
        <f t="shared" si="24"/>
        <v>0.14137933967114547</v>
      </c>
      <c r="L109" s="2">
        <v>8.3740000000000006</v>
      </c>
      <c r="M109" s="20">
        <v>11</v>
      </c>
      <c r="N109" s="24">
        <v>106.50752699620899</v>
      </c>
      <c r="O109" s="23">
        <v>-15.558901487393801</v>
      </c>
      <c r="P109" s="23">
        <v>224.70093988409801</v>
      </c>
      <c r="Q109" s="23">
        <f t="shared" si="22"/>
        <v>66.250026692892163</v>
      </c>
      <c r="R109" s="23">
        <f t="shared" si="23"/>
        <v>158.45091319120584</v>
      </c>
      <c r="S109" s="25">
        <f t="shared" si="25"/>
        <v>2.1097188735975059</v>
      </c>
      <c r="T109" s="21">
        <v>3.88363926749504</v>
      </c>
      <c r="U109" s="21">
        <v>-29.832383817886999</v>
      </c>
      <c r="V109" s="21">
        <v>-29.079468784998198</v>
      </c>
      <c r="W109" s="21">
        <f t="shared" si="29"/>
        <v>53.182907438777228</v>
      </c>
      <c r="X109" s="32">
        <f t="shared" si="33"/>
        <v>29.483644673255171</v>
      </c>
      <c r="Y109" s="35">
        <f t="shared" si="28"/>
        <v>1.4371061156513272</v>
      </c>
      <c r="Z109" s="25">
        <f t="shared" si="32"/>
        <v>-0.20993626564201448</v>
      </c>
      <c r="AA109" s="25">
        <f t="shared" si="26"/>
        <v>3.0318898955520051</v>
      </c>
      <c r="AB109" s="25">
        <f t="shared" si="30"/>
        <v>5.2401946601383566E-2</v>
      </c>
      <c r="AC109" s="25">
        <f t="shared" si="27"/>
        <v>-0.40252836994956309</v>
      </c>
      <c r="AD109" s="34">
        <f t="shared" si="31"/>
        <v>-0.39236928702982887</v>
      </c>
      <c r="AF109" s="24">
        <v>4.0420693702919097</v>
      </c>
      <c r="AG109" s="23">
        <v>33.012837167491199</v>
      </c>
      <c r="AH109" s="23">
        <v>3.8408072675771199</v>
      </c>
      <c r="AI109" s="23">
        <v>27.014460418546701</v>
      </c>
      <c r="AJ109" s="23">
        <v>7.1022901786963102</v>
      </c>
      <c r="AK109" s="23">
        <v>48.391552243956397</v>
      </c>
      <c r="AL109" s="23">
        <v>41.388129792010702</v>
      </c>
      <c r="AM109" s="23">
        <v>71.035654887758596</v>
      </c>
      <c r="AN109" s="23">
        <v>7.1702139748111797</v>
      </c>
      <c r="AO109" s="23">
        <v>12.713485327132201</v>
      </c>
      <c r="AP109" s="23">
        <v>7.88075504942619</v>
      </c>
      <c r="AQ109" s="23">
        <v>15.4126599566676</v>
      </c>
      <c r="AR109" s="23">
        <v>2.8990331168697101</v>
      </c>
      <c r="AS109" s="23">
        <v>24.6493442654746</v>
      </c>
      <c r="AT109" s="23">
        <v>13.0603915934146</v>
      </c>
      <c r="AU109" s="23">
        <v>7.3320588927834196</v>
      </c>
      <c r="AV109" s="23">
        <v>2.6098370538496201</v>
      </c>
      <c r="AW109" s="23">
        <v>-1.74742679727136</v>
      </c>
      <c r="AX109" s="23">
        <v>5.0201412537904302</v>
      </c>
      <c r="AY109" s="23">
        <v>-2.3920729688253402</v>
      </c>
      <c r="AZ109" s="23">
        <v>3.9462507577775199</v>
      </c>
      <c r="BA109" s="23">
        <v>-2.0215774433301399</v>
      </c>
      <c r="BB109" s="23">
        <v>2.0462579273951498</v>
      </c>
      <c r="BC109" s="23">
        <v>-1.4928534880687301</v>
      </c>
      <c r="BD109" s="23">
        <v>1.6606183453590699</v>
      </c>
      <c r="BE109" s="23">
        <v>-0.30766565361551601</v>
      </c>
      <c r="BF109" s="23">
        <v>2.01376949597705</v>
      </c>
      <c r="BG109" s="23">
        <v>-0.22557863619350199</v>
      </c>
      <c r="BH109" s="23">
        <v>0.38674082400719101</v>
      </c>
      <c r="BI109" s="23">
        <v>4.6152455984003798E-4</v>
      </c>
      <c r="BJ109" s="23">
        <v>0.23786309799036401</v>
      </c>
      <c r="BK109" s="36">
        <v>-0.14655411411438701</v>
      </c>
      <c r="BM109" s="35">
        <v>0.12393395629342099</v>
      </c>
      <c r="BN109" s="21">
        <v>58.319321990926703</v>
      </c>
      <c r="BO109" s="25">
        <v>0.124336985153758</v>
      </c>
      <c r="BP109" s="21">
        <v>53.973973272242098</v>
      </c>
      <c r="BQ109" s="25">
        <v>0.12390968445152301</v>
      </c>
      <c r="BR109" s="21">
        <v>72.355574586100204</v>
      </c>
      <c r="BS109" s="25">
        <v>0.124337402009457</v>
      </c>
      <c r="BT109" s="32">
        <v>72.019867967827906</v>
      </c>
      <c r="BV109" s="37">
        <f>14457066/1000000</f>
        <v>14.457065999999999</v>
      </c>
      <c r="BW109" s="2">
        <v>1000</v>
      </c>
      <c r="BX109" s="2">
        <v>750</v>
      </c>
      <c r="BY109" s="21">
        <v>12.2280955592775</v>
      </c>
      <c r="BZ109" s="21">
        <v>48.772530474794998</v>
      </c>
      <c r="CA109" s="45">
        <v>9.0341707574259893E-6</v>
      </c>
      <c r="CB109" s="45">
        <v>5.8908270886705496E-3</v>
      </c>
      <c r="CC109" s="45">
        <v>1.18945509902075E-4</v>
      </c>
      <c r="CD109" s="45">
        <v>3.2676366870114702E-4</v>
      </c>
      <c r="CE109" s="45">
        <v>3.12190198345192E-4</v>
      </c>
      <c r="CF109" s="45">
        <v>3.1131943241080102E-4</v>
      </c>
      <c r="CG109" s="23"/>
      <c r="CH109" s="21">
        <v>14.2920417785644</v>
      </c>
      <c r="CI109" s="21"/>
      <c r="CJ109" s="38"/>
      <c r="CL109" s="88">
        <v>8.5824275166879591</v>
      </c>
      <c r="CM109" s="2">
        <v>-244.01440631445701</v>
      </c>
      <c r="CN109" s="20">
        <v>-16.476136224149698</v>
      </c>
    </row>
    <row r="110" spans="2:92" s="2" customFormat="1" x14ac:dyDescent="0.25">
      <c r="B110" s="2" t="s">
        <v>350</v>
      </c>
      <c r="C110" s="2" t="s">
        <v>343</v>
      </c>
      <c r="D110" s="20"/>
      <c r="E110" s="19">
        <v>50.8</v>
      </c>
      <c r="F110" s="2">
        <v>73.400000000000006</v>
      </c>
      <c r="G110" s="21">
        <v>7.9499999999999886</v>
      </c>
      <c r="H110" s="21">
        <v>0.66</v>
      </c>
      <c r="I110" s="21">
        <v>0.125</v>
      </c>
      <c r="J110" s="21">
        <v>0.125</v>
      </c>
      <c r="K110" s="21">
        <f t="shared" si="24"/>
        <v>0.8408643508690038</v>
      </c>
      <c r="L110" s="2">
        <v>300</v>
      </c>
      <c r="M110" s="20">
        <v>11</v>
      </c>
      <c r="N110" s="24">
        <v>111.765548973658</v>
      </c>
      <c r="O110" s="23">
        <v>-39.4464251902561</v>
      </c>
      <c r="P110" s="23">
        <v>231.526914851443</v>
      </c>
      <c r="Q110" s="23">
        <f t="shared" si="22"/>
        <v>81.360631886492357</v>
      </c>
      <c r="R110" s="23">
        <f t="shared" si="23"/>
        <v>150.16628296495065</v>
      </c>
      <c r="S110" s="25">
        <f t="shared" si="25"/>
        <v>2.0715409800028048</v>
      </c>
      <c r="T110" s="21">
        <v>13.1956764773883</v>
      </c>
      <c r="U110" s="21">
        <v>-9.95681786971668</v>
      </c>
      <c r="V110" s="21">
        <v>-3.4359587250879402</v>
      </c>
      <c r="W110" s="21">
        <f t="shared" si="29"/>
        <v>59.037285111091123</v>
      </c>
      <c r="X110" s="32">
        <f t="shared" si="33"/>
        <v>35.140895795504647</v>
      </c>
      <c r="Y110" s="35">
        <f t="shared" si="28"/>
        <v>1.50805260885354</v>
      </c>
      <c r="Z110" s="25">
        <f t="shared" si="32"/>
        <v>-0.53225063505152426</v>
      </c>
      <c r="AA110" s="25">
        <f t="shared" si="26"/>
        <v>3.1239927792402491</v>
      </c>
      <c r="AB110" s="25">
        <f t="shared" si="30"/>
        <v>0.1780492693862479</v>
      </c>
      <c r="AC110" s="25">
        <f t="shared" si="27"/>
        <v>-0.13434734855411271</v>
      </c>
      <c r="AD110" s="34">
        <f t="shared" si="31"/>
        <v>-4.6361392816163798E-2</v>
      </c>
      <c r="AF110" s="24">
        <v>4.7216702455717696</v>
      </c>
      <c r="AG110" s="23">
        <v>36.594586759433803</v>
      </c>
      <c r="AH110" s="23">
        <v>4.5005377252327996</v>
      </c>
      <c r="AI110" s="23">
        <v>33.642485458242703</v>
      </c>
      <c r="AJ110" s="23">
        <v>7.1569328105363796</v>
      </c>
      <c r="AK110" s="23">
        <v>51.045307946186597</v>
      </c>
      <c r="AL110" s="23">
        <v>41.8014152652717</v>
      </c>
      <c r="AM110" s="23">
        <v>68.251097638155699</v>
      </c>
      <c r="AN110" s="23">
        <v>7.3471008347794102</v>
      </c>
      <c r="AO110" s="23">
        <v>12.2954868388591</v>
      </c>
      <c r="AP110" s="23">
        <v>7.8791970506540396</v>
      </c>
      <c r="AQ110" s="23">
        <v>14.133241781367101</v>
      </c>
      <c r="AR110" s="23">
        <v>2.3017722798162499</v>
      </c>
      <c r="AS110" s="23">
        <v>16.332988373461198</v>
      </c>
      <c r="AT110" s="23">
        <v>14.5075142459341</v>
      </c>
      <c r="AU110" s="23">
        <v>13.088978825697</v>
      </c>
      <c r="AV110" s="23">
        <v>2.73834253476323</v>
      </c>
      <c r="AW110" s="23">
        <v>-1.0955796214559601</v>
      </c>
      <c r="AX110" s="23">
        <v>5.8924874613793898</v>
      </c>
      <c r="AY110" s="23">
        <v>-2.0605973002767999</v>
      </c>
      <c r="AZ110" s="23">
        <v>4.0164746255232302</v>
      </c>
      <c r="BA110" s="23">
        <v>-1.98959401886617</v>
      </c>
      <c r="BB110" s="23">
        <v>2.8099736827843498</v>
      </c>
      <c r="BC110" s="23">
        <v>-1.7399981236411</v>
      </c>
      <c r="BD110" s="23">
        <v>1.5856951259043699</v>
      </c>
      <c r="BE110" s="23">
        <v>-0.37055371830526201</v>
      </c>
      <c r="BF110" s="23">
        <v>1.9635891367927401</v>
      </c>
      <c r="BG110" s="23">
        <v>-0.111788419712106</v>
      </c>
      <c r="BH110" s="23">
        <v>0.37852967432954099</v>
      </c>
      <c r="BI110" s="23">
        <v>-6.5535501357119205E-2</v>
      </c>
      <c r="BJ110" s="23">
        <v>0.26580562388488399</v>
      </c>
      <c r="BK110" s="36">
        <v>-0.22113373525962801</v>
      </c>
      <c r="BM110" s="35">
        <v>0.124643198627183</v>
      </c>
      <c r="BN110" s="21">
        <v>51.317176548698797</v>
      </c>
      <c r="BO110" s="25">
        <v>0.12668999936938399</v>
      </c>
      <c r="BP110" s="21">
        <v>48.937009548906303</v>
      </c>
      <c r="BQ110" s="25">
        <v>0.124616521316158</v>
      </c>
      <c r="BR110" s="21">
        <v>70.633106966148702</v>
      </c>
      <c r="BS110" s="25">
        <v>0.12669295696778701</v>
      </c>
      <c r="BT110" s="32">
        <v>62.216863369783397</v>
      </c>
      <c r="BV110" s="37">
        <f>14143759/1000000</f>
        <v>14.143758999999999</v>
      </c>
      <c r="BW110" s="2">
        <v>1000</v>
      </c>
      <c r="BX110" s="2">
        <v>750</v>
      </c>
      <c r="BY110" s="21">
        <v>12.0801211424159</v>
      </c>
      <c r="BZ110" s="21">
        <v>47.5831377891963</v>
      </c>
      <c r="CA110" s="45">
        <v>9.3282181397935697E-6</v>
      </c>
      <c r="CB110" s="45">
        <v>6.0888685911558603E-3</v>
      </c>
      <c r="CC110" s="45">
        <v>1.3137982655955099E-4</v>
      </c>
      <c r="CD110" s="45">
        <v>4.28788173894474E-4</v>
      </c>
      <c r="CE110" s="45">
        <v>3.1080237575434501E-4</v>
      </c>
      <c r="CF110" s="45">
        <v>3.1946132360853298E-4</v>
      </c>
      <c r="CG110" s="23"/>
      <c r="CH110" s="21">
        <v>14.0091896057128</v>
      </c>
      <c r="CI110" s="21"/>
      <c r="CJ110" s="38"/>
      <c r="CL110" s="88">
        <v>25.1084968848457</v>
      </c>
      <c r="CM110" s="2">
        <v>-231.256075766024</v>
      </c>
      <c r="CN110" s="20">
        <v>28.5172235360271</v>
      </c>
    </row>
    <row r="111" spans="2:92" s="2" customFormat="1" x14ac:dyDescent="0.25">
      <c r="B111" s="2" t="s">
        <v>351</v>
      </c>
      <c r="C111" s="2" t="s">
        <v>344</v>
      </c>
      <c r="D111" s="20"/>
      <c r="E111" s="19">
        <v>34</v>
      </c>
      <c r="F111" s="2">
        <v>75.8</v>
      </c>
      <c r="G111" s="21">
        <v>7.6499999999999888</v>
      </c>
      <c r="H111" s="21">
        <v>1.06</v>
      </c>
      <c r="I111" s="21">
        <v>12.586</v>
      </c>
      <c r="J111" s="21">
        <v>11.156000000000001</v>
      </c>
      <c r="K111" s="21">
        <f t="shared" si="24"/>
        <v>1.5553621796396593</v>
      </c>
      <c r="L111" s="2">
        <v>7.2949999999999999</v>
      </c>
      <c r="M111" s="20">
        <v>11</v>
      </c>
      <c r="N111" s="24">
        <v>112.01845674207701</v>
      </c>
      <c r="O111" s="23">
        <v>-18.9768844465938</v>
      </c>
      <c r="P111" s="23">
        <v>231.07304308012701</v>
      </c>
      <c r="Q111" s="23">
        <f t="shared" si="22"/>
        <v>78.934077962139995</v>
      </c>
      <c r="R111" s="23">
        <f t="shared" si="23"/>
        <v>152.13896511798703</v>
      </c>
      <c r="S111" s="25">
        <f t="shared" si="25"/>
        <v>2.0628122347031947</v>
      </c>
      <c r="T111" s="21">
        <v>4.2449238261262998</v>
      </c>
      <c r="U111" s="21">
        <v>-13.2860245289665</v>
      </c>
      <c r="V111" s="21">
        <v>-33.196260596164699</v>
      </c>
      <c r="W111" s="21">
        <f t="shared" si="29"/>
        <v>53.597687407995039</v>
      </c>
      <c r="X111" s="32">
        <f t="shared" si="33"/>
        <v>34.159795063056649</v>
      </c>
      <c r="Y111" s="35">
        <f t="shared" si="28"/>
        <v>1.5114650935007858</v>
      </c>
      <c r="Z111" s="25">
        <f t="shared" si="32"/>
        <v>-0.2560551114399568</v>
      </c>
      <c r="AA111" s="25">
        <f t="shared" si="26"/>
        <v>3.1178686872002288</v>
      </c>
      <c r="AB111" s="25">
        <f t="shared" si="30"/>
        <v>5.727675933380063E-2</v>
      </c>
      <c r="AC111" s="25">
        <f t="shared" si="27"/>
        <v>-0.17926833569190756</v>
      </c>
      <c r="AD111" s="34">
        <f t="shared" si="31"/>
        <v>-0.44791716102094375</v>
      </c>
      <c r="AF111" s="24">
        <v>4.5625121940989999</v>
      </c>
      <c r="AG111" s="23">
        <v>34.419066488419197</v>
      </c>
      <c r="AH111" s="23">
        <v>4.4075929359831401</v>
      </c>
      <c r="AI111" s="23">
        <v>29.535322594584901</v>
      </c>
      <c r="AJ111" s="23">
        <v>8.0576959841489995</v>
      </c>
      <c r="AK111" s="23">
        <v>54.926857723635301</v>
      </c>
      <c r="AL111" s="23">
        <v>43.686588621432499</v>
      </c>
      <c r="AM111" s="23">
        <v>74.998216681699901</v>
      </c>
      <c r="AN111" s="23">
        <v>7.5073478902718502</v>
      </c>
      <c r="AO111" s="23">
        <v>12.1815360250952</v>
      </c>
      <c r="AP111" s="23">
        <v>8.0415065260176295</v>
      </c>
      <c r="AQ111" s="23">
        <v>14.419827385844499</v>
      </c>
      <c r="AR111" s="23">
        <v>2.56428891409896</v>
      </c>
      <c r="AS111" s="23">
        <v>17.469665220783899</v>
      </c>
      <c r="AT111" s="23">
        <v>14.226489589488301</v>
      </c>
      <c r="AU111" s="23">
        <v>7.4770149554922103</v>
      </c>
      <c r="AV111" s="23">
        <v>2.7452962505926899</v>
      </c>
      <c r="AW111" s="23">
        <v>-1.07172025768249</v>
      </c>
      <c r="AX111" s="23">
        <v>4.4178552843677101</v>
      </c>
      <c r="AY111" s="23">
        <v>-2.4916650452424101</v>
      </c>
      <c r="AZ111" s="23">
        <v>3.9940965967861901</v>
      </c>
      <c r="BA111" s="23">
        <v>-2.17946670809425</v>
      </c>
      <c r="BB111" s="23">
        <v>2.6213993826832098</v>
      </c>
      <c r="BC111" s="23">
        <v>-2.0060071184352699</v>
      </c>
      <c r="BD111" s="23">
        <v>1.56975762071738</v>
      </c>
      <c r="BE111" s="23">
        <v>-0.15974022279444899</v>
      </c>
      <c r="BF111" s="23">
        <v>1.8360833277461699</v>
      </c>
      <c r="BG111" s="23">
        <v>-0.36359834583638001</v>
      </c>
      <c r="BH111" s="23">
        <v>0.33884836661722301</v>
      </c>
      <c r="BI111" s="23">
        <v>0.116307945182638</v>
      </c>
      <c r="BJ111" s="23">
        <v>0.161192696058541</v>
      </c>
      <c r="BK111" s="36">
        <v>-6.7072095367513296E-2</v>
      </c>
      <c r="BM111" s="35">
        <v>0.123820972766985</v>
      </c>
      <c r="BN111" s="21">
        <v>55.431680070412597</v>
      </c>
      <c r="BO111" s="25">
        <v>0.124690175252476</v>
      </c>
      <c r="BP111" s="21">
        <v>65.493779120228794</v>
      </c>
      <c r="BQ111" s="25">
        <v>0.12382960270776</v>
      </c>
      <c r="BR111" s="21">
        <v>73.533752693898094</v>
      </c>
      <c r="BS111" s="25">
        <v>0.12469900252180199</v>
      </c>
      <c r="BT111" s="32">
        <v>70.135661541082101</v>
      </c>
      <c r="BV111" s="37">
        <f>14450493/1000000</f>
        <v>14.450493</v>
      </c>
      <c r="BW111" s="2">
        <v>1000</v>
      </c>
      <c r="BX111" s="2">
        <v>750</v>
      </c>
      <c r="BY111" s="21">
        <v>9.0350936338613597</v>
      </c>
      <c r="BZ111" s="21">
        <v>36.466648891997501</v>
      </c>
      <c r="CA111" s="45">
        <v>1.2091540091439601E-5</v>
      </c>
      <c r="CB111" s="45">
        <v>6.86913384273319E-3</v>
      </c>
      <c r="CC111" s="45">
        <v>1.5579612028592999E-4</v>
      </c>
      <c r="CD111" s="45">
        <v>4.5281667281224199E-4</v>
      </c>
      <c r="CE111" s="45">
        <v>4.6480878688375101E-4</v>
      </c>
      <c r="CF111" s="45">
        <v>4.8034431687824501E-4</v>
      </c>
      <c r="CG111" s="23"/>
      <c r="CH111" s="21">
        <v>36.109416961669901</v>
      </c>
      <c r="CI111" s="21"/>
      <c r="CJ111" s="38"/>
      <c r="CL111" s="88">
        <v>9.9759429289976396</v>
      </c>
      <c r="CM111" s="2">
        <v>-234.29400628170001</v>
      </c>
      <c r="CN111" s="20">
        <v>-17.824225119045799</v>
      </c>
    </row>
    <row r="112" spans="2:92" s="2" customFormat="1" x14ac:dyDescent="0.25">
      <c r="B112" s="2" t="s">
        <v>352</v>
      </c>
      <c r="C112" s="2" t="s">
        <v>345</v>
      </c>
      <c r="D112" s="20"/>
      <c r="E112" s="19">
        <v>26</v>
      </c>
      <c r="F112" s="2">
        <v>20.6</v>
      </c>
      <c r="G112" s="21">
        <v>0.14999999999999977</v>
      </c>
      <c r="H112" s="21">
        <v>0.62</v>
      </c>
      <c r="I112" s="21">
        <v>10.644</v>
      </c>
      <c r="J112" s="21">
        <v>9.6059999999999999</v>
      </c>
      <c r="K112" s="21">
        <f t="shared" si="24"/>
        <v>-0.20090769052351576</v>
      </c>
      <c r="L112" s="2">
        <v>8.5860000000000003</v>
      </c>
      <c r="M112" s="20">
        <v>11</v>
      </c>
      <c r="N112" s="24">
        <v>109.095774272136</v>
      </c>
      <c r="O112" s="23">
        <v>18.354402987955901</v>
      </c>
      <c r="P112" s="23">
        <v>220.105290902267</v>
      </c>
      <c r="Q112" s="23">
        <f t="shared" si="22"/>
        <v>61.382044416961179</v>
      </c>
      <c r="R112" s="23">
        <f t="shared" si="23"/>
        <v>158.72324648530582</v>
      </c>
      <c r="S112" s="25">
        <f t="shared" si="25"/>
        <v>2.017541855958795</v>
      </c>
      <c r="T112" s="21">
        <v>-2.0602915869764198</v>
      </c>
      <c r="U112" s="21">
        <v>-33.192785914713198</v>
      </c>
      <c r="V112" s="21">
        <v>-25.905412853731502</v>
      </c>
      <c r="W112" s="21">
        <f t="shared" si="29"/>
        <v>47.121331773318133</v>
      </c>
      <c r="X112" s="32">
        <f t="shared" si="33"/>
        <v>27.887582422639966</v>
      </c>
      <c r="Y112" s="35">
        <f t="shared" si="28"/>
        <v>1.4720293374550308</v>
      </c>
      <c r="Z112" s="25">
        <f t="shared" si="32"/>
        <v>0.24765596880358776</v>
      </c>
      <c r="AA112" s="25">
        <f t="shared" si="26"/>
        <v>2.9698808015148184</v>
      </c>
      <c r="AB112" s="25">
        <f t="shared" si="30"/>
        <v>-2.7799515425554658E-2</v>
      </c>
      <c r="AC112" s="25">
        <f t="shared" si="27"/>
        <v>-0.4478702771423605</v>
      </c>
      <c r="AD112" s="34">
        <f t="shared" si="31"/>
        <v>-0.3495417487432147</v>
      </c>
      <c r="AF112" s="24">
        <v>4.2749748446804299</v>
      </c>
      <c r="AG112" s="23">
        <v>24.3605127942126</v>
      </c>
      <c r="AH112" s="23">
        <v>3.4515097381995998</v>
      </c>
      <c r="AI112" s="23">
        <v>22.424632933345301</v>
      </c>
      <c r="AJ112" s="23">
        <v>7.15379089679233</v>
      </c>
      <c r="AK112" s="23">
        <v>50.953458251300297</v>
      </c>
      <c r="AL112" s="23">
        <v>42.162855642734698</v>
      </c>
      <c r="AM112" s="23">
        <v>76.900722808364605</v>
      </c>
      <c r="AN112" s="23">
        <v>7.77200057684162</v>
      </c>
      <c r="AO112" s="23">
        <v>13.5382429856905</v>
      </c>
      <c r="AP112" s="23">
        <v>7.6059238786640497</v>
      </c>
      <c r="AQ112" s="23">
        <v>12.371549377581299</v>
      </c>
      <c r="AR112" s="23">
        <v>2.2989099064820602</v>
      </c>
      <c r="AS112" s="23">
        <v>28.949423106867499</v>
      </c>
      <c r="AT112" s="23">
        <v>14.2138407570248</v>
      </c>
      <c r="AU112" s="23">
        <v>5.4972905466959299</v>
      </c>
      <c r="AV112" s="23">
        <v>2.78006208632701</v>
      </c>
      <c r="AW112" s="23">
        <v>-1.9638519512263399</v>
      </c>
      <c r="AX112" s="23">
        <v>4.5139931698891198</v>
      </c>
      <c r="AY112" s="23">
        <v>-2.9236455141808202</v>
      </c>
      <c r="AZ112" s="23">
        <v>2.5585030710038201</v>
      </c>
      <c r="BA112" s="23">
        <v>-1.87072423367203</v>
      </c>
      <c r="BB112" s="23">
        <v>3.5202818567605001</v>
      </c>
      <c r="BC112" s="23">
        <v>-1.12263061471673</v>
      </c>
      <c r="BD112" s="23">
        <v>1.70500699743109</v>
      </c>
      <c r="BE112" s="23">
        <v>-6.8039033402530494E-2</v>
      </c>
      <c r="BF112" s="23">
        <v>1.83927069982818</v>
      </c>
      <c r="BG112" s="23">
        <v>-8.6083912580817601E-2</v>
      </c>
      <c r="BH112" s="23">
        <v>0.26476226395022401</v>
      </c>
      <c r="BI112" s="23">
        <v>-0.15611121697094299</v>
      </c>
      <c r="BJ112" s="23">
        <v>0.32365449086481901</v>
      </c>
      <c r="BK112" s="36">
        <v>0.180248317339648</v>
      </c>
      <c r="BM112" s="35">
        <v>0.12490829532124199</v>
      </c>
      <c r="BN112" s="21">
        <v>46.580907263791801</v>
      </c>
      <c r="BO112" s="25">
        <v>0.12572600986334101</v>
      </c>
      <c r="BP112" s="21">
        <v>57.809784704917398</v>
      </c>
      <c r="BQ112" s="25">
        <v>0.124927684570681</v>
      </c>
      <c r="BR112" s="21">
        <v>68.900647739610903</v>
      </c>
      <c r="BS112" s="25">
        <v>0.125717389101482</v>
      </c>
      <c r="BT112" s="32">
        <v>66.423460732859397</v>
      </c>
      <c r="BV112" s="37">
        <f>14717747/1000000</f>
        <v>14.717746999999999</v>
      </c>
      <c r="BW112" s="2">
        <v>1000</v>
      </c>
      <c r="BX112" s="2">
        <v>750</v>
      </c>
      <c r="BY112" s="21">
        <v>12.418098162055699</v>
      </c>
      <c r="BZ112" s="21">
        <v>49.616938402403598</v>
      </c>
      <c r="CA112" s="45">
        <v>1.0844631797031301E-5</v>
      </c>
      <c r="CB112" s="45">
        <v>6.1996851404975198E-3</v>
      </c>
      <c r="CC112" s="45">
        <v>1.4674716191171301E-4</v>
      </c>
      <c r="CD112" s="45">
        <v>4.8945028815737502E-4</v>
      </c>
      <c r="CE112" s="45">
        <v>5.0404752772231602E-4</v>
      </c>
      <c r="CF112" s="45">
        <v>3.8641287977795002E-4</v>
      </c>
      <c r="CG112" s="23"/>
      <c r="CH112" s="21">
        <v>14.465446472167899</v>
      </c>
      <c r="CI112" s="21"/>
      <c r="CJ112" s="38"/>
      <c r="CL112" s="88">
        <v>-7.6033212893391102</v>
      </c>
      <c r="CM112" s="2">
        <v>-244.433799587371</v>
      </c>
      <c r="CN112" s="20">
        <v>-40.773213450095398</v>
      </c>
    </row>
    <row r="113" spans="2:92" s="2" customFormat="1" x14ac:dyDescent="0.25">
      <c r="B113" s="2" t="s">
        <v>353</v>
      </c>
      <c r="C113" s="2" t="s">
        <v>346</v>
      </c>
      <c r="D113" s="20"/>
      <c r="E113" s="19">
        <v>35.6</v>
      </c>
      <c r="F113" s="2">
        <v>55.4</v>
      </c>
      <c r="G113" s="21">
        <v>4.9499999999999993</v>
      </c>
      <c r="H113" s="21">
        <v>1.1000000000000001</v>
      </c>
      <c r="I113" s="21">
        <v>7.65</v>
      </c>
      <c r="J113" s="21">
        <v>7.1</v>
      </c>
      <c r="K113" s="21">
        <f t="shared" si="24"/>
        <v>0.73668031955626967</v>
      </c>
      <c r="L113" s="2">
        <v>11.85</v>
      </c>
      <c r="M113" s="20">
        <v>11</v>
      </c>
      <c r="N113" s="24">
        <v>114.203046960115</v>
      </c>
      <c r="O113" s="23">
        <v>-11.647981479041499</v>
      </c>
      <c r="P113" s="23">
        <v>248.04630534982601</v>
      </c>
      <c r="Q113" s="23">
        <f t="shared" si="22"/>
        <v>85.68908644568188</v>
      </c>
      <c r="R113" s="23">
        <f t="shared" si="23"/>
        <v>162.35721890414413</v>
      </c>
      <c r="S113" s="25">
        <f t="shared" si="25"/>
        <v>2.1719762471526289</v>
      </c>
      <c r="T113" s="21">
        <v>5.4687296255563798</v>
      </c>
      <c r="U113" s="21">
        <v>-14.613367744854299</v>
      </c>
      <c r="V113" s="21">
        <v>-19.775081422152301</v>
      </c>
      <c r="W113" s="21">
        <f t="shared" si="29"/>
        <v>53.01906668177444</v>
      </c>
      <c r="X113" s="32">
        <f t="shared" si="33"/>
        <v>34.545600800153977</v>
      </c>
      <c r="Y113" s="35">
        <f t="shared" si="28"/>
        <v>1.5409417704181478</v>
      </c>
      <c r="Z113" s="25">
        <f t="shared" si="32"/>
        <v>-0.15716621999044017</v>
      </c>
      <c r="AA113" s="25">
        <f t="shared" si="26"/>
        <v>3.3468889235935366</v>
      </c>
      <c r="AB113" s="25">
        <f t="shared" si="30"/>
        <v>7.3789571604741158E-2</v>
      </c>
      <c r="AC113" s="25">
        <f t="shared" si="27"/>
        <v>-0.19717817837550072</v>
      </c>
      <c r="AD113" s="34">
        <f t="shared" si="31"/>
        <v>-0.26682518363504532</v>
      </c>
      <c r="AF113" s="24">
        <v>4.8331877503770801</v>
      </c>
      <c r="AG113" s="23">
        <v>39.270988346212199</v>
      </c>
      <c r="AH113" s="23">
        <v>4.0646922711665496</v>
      </c>
      <c r="AI113" s="23">
        <v>29.198903831299901</v>
      </c>
      <c r="AJ113" s="23">
        <v>7.7874654297147199</v>
      </c>
      <c r="AK113" s="23">
        <v>57.606430689567901</v>
      </c>
      <c r="AL113" s="23">
        <v>44.697623822533501</v>
      </c>
      <c r="AM113" s="23">
        <v>76.9070750471069</v>
      </c>
      <c r="AN113" s="23">
        <v>7.3620033782879002</v>
      </c>
      <c r="AO113" s="23">
        <v>13.0413787594194</v>
      </c>
      <c r="AP113" s="23">
        <v>7.9626427603607501</v>
      </c>
      <c r="AQ113" s="23">
        <v>14.515605430272799</v>
      </c>
      <c r="AR113" s="23">
        <v>2.78117587950514</v>
      </c>
      <c r="AS113" s="23">
        <v>22.259940322157298</v>
      </c>
      <c r="AT113" s="23">
        <v>14.4629884796753</v>
      </c>
      <c r="AU113" s="23">
        <v>10.3239409608189</v>
      </c>
      <c r="AV113" s="23">
        <v>2.92679103423565</v>
      </c>
      <c r="AW113" s="23">
        <v>-1.83169149227143</v>
      </c>
      <c r="AX113" s="23">
        <v>4.6859105601862296</v>
      </c>
      <c r="AY113" s="23">
        <v>-2.5827655796012001</v>
      </c>
      <c r="AZ113" s="23">
        <v>3.9268743534331101</v>
      </c>
      <c r="BA113" s="23">
        <v>-2.0604356668933299</v>
      </c>
      <c r="BB113" s="23">
        <v>2.70839016625954</v>
      </c>
      <c r="BC113" s="23">
        <v>-1.5438677132410099</v>
      </c>
      <c r="BD113" s="23">
        <v>1.6659032447770601</v>
      </c>
      <c r="BE113" s="23">
        <v>-0.256489111518654</v>
      </c>
      <c r="BF113" s="23">
        <v>1.9227791022239999</v>
      </c>
      <c r="BG113" s="23">
        <v>-0.12058290144957</v>
      </c>
      <c r="BH113" s="23">
        <v>0.39863676245618002</v>
      </c>
      <c r="BI113" s="23">
        <v>-0.104659621869608</v>
      </c>
      <c r="BJ113" s="23">
        <v>0.16820935298248399</v>
      </c>
      <c r="BK113" s="36">
        <v>-8.7207378720003895E-3</v>
      </c>
      <c r="BM113" s="35">
        <v>0.12404841806257</v>
      </c>
      <c r="BN113" s="21">
        <v>53.317364891102301</v>
      </c>
      <c r="BO113" s="25">
        <v>0.12590003266271901</v>
      </c>
      <c r="BP113" s="21">
        <v>63.3247693093629</v>
      </c>
      <c r="BQ113" s="25">
        <v>0.12403779834142301</v>
      </c>
      <c r="BR113" s="21">
        <v>72.673698539755804</v>
      </c>
      <c r="BS113" s="25">
        <v>0.125911977040851</v>
      </c>
      <c r="BT113" s="32">
        <v>65.467928488262999</v>
      </c>
      <c r="BV113" s="37">
        <f>14420744/1000000</f>
        <v>14.420743999999999</v>
      </c>
      <c r="BW113" s="2">
        <v>1000</v>
      </c>
      <c r="BX113" s="2">
        <v>750</v>
      </c>
      <c r="BY113" s="21">
        <v>12.0706279087222</v>
      </c>
      <c r="BZ113" s="21">
        <v>47.605466717600002</v>
      </c>
      <c r="CA113" s="45">
        <v>1.0444762105521701E-5</v>
      </c>
      <c r="CB113" s="45">
        <v>5.9819325210594201E-3</v>
      </c>
      <c r="CC113" s="45">
        <v>1.4717292576114899E-4</v>
      </c>
      <c r="CD113" s="45">
        <v>3.86749564726501E-4</v>
      </c>
      <c r="CE113" s="45">
        <v>4.2911863311008799E-4</v>
      </c>
      <c r="CF113" s="45">
        <v>3.6927116871896697E-4</v>
      </c>
      <c r="CG113" s="23"/>
      <c r="CH113" s="21">
        <v>14.261558532714799</v>
      </c>
      <c r="CI113" s="21"/>
      <c r="CJ113" s="38"/>
      <c r="CL113" s="88">
        <v>8.9864200322269099</v>
      </c>
      <c r="CM113" s="2">
        <v>-250.03011711238199</v>
      </c>
      <c r="CN113" s="20">
        <v>-10.3397505048695</v>
      </c>
    </row>
    <row r="114" spans="2:92" s="2" customFormat="1" x14ac:dyDescent="0.25">
      <c r="B114" s="2" t="s">
        <v>354</v>
      </c>
      <c r="C114" s="2" t="s">
        <v>347</v>
      </c>
      <c r="D114" s="20"/>
      <c r="E114" s="19">
        <v>37.200000000000003</v>
      </c>
      <c r="F114" s="2">
        <v>51.8</v>
      </c>
      <c r="G114" s="21">
        <v>2.2499999999999991</v>
      </c>
      <c r="H114" s="21">
        <v>1.38</v>
      </c>
      <c r="I114" s="21">
        <v>8.73</v>
      </c>
      <c r="J114" s="21">
        <v>8.02</v>
      </c>
      <c r="K114" s="21">
        <f t="shared" si="24"/>
        <v>0.54320189121948692</v>
      </c>
      <c r="L114" s="2">
        <v>10.414999999999999</v>
      </c>
      <c r="M114" s="20">
        <v>11</v>
      </c>
      <c r="N114" s="24">
        <v>115.080719334508</v>
      </c>
      <c r="O114" s="23">
        <v>7.7509057345177501</v>
      </c>
      <c r="P114" s="23">
        <v>255.32041813546601</v>
      </c>
      <c r="Q114" s="23">
        <f t="shared" si="22"/>
        <v>91.66017702675758</v>
      </c>
      <c r="R114" s="23">
        <f t="shared" si="23"/>
        <v>163.66024110870842</v>
      </c>
      <c r="S114" s="25">
        <f t="shared" si="25"/>
        <v>2.2186202833275641</v>
      </c>
      <c r="T114" s="21">
        <v>2.2420884940041299</v>
      </c>
      <c r="U114" s="21">
        <v>-10.462642561936701</v>
      </c>
      <c r="V114" s="21">
        <v>-23.6762167185118</v>
      </c>
      <c r="W114" s="21">
        <f t="shared" si="29"/>
        <v>49.9677904602705</v>
      </c>
      <c r="X114" s="32">
        <f t="shared" si="33"/>
        <v>35.900057541863021</v>
      </c>
      <c r="Y114" s="35">
        <f t="shared" si="28"/>
        <v>1.552784204209924</v>
      </c>
      <c r="Z114" s="25">
        <f t="shared" si="32"/>
        <v>0.10458297499770955</v>
      </c>
      <c r="AA114" s="25">
        <f t="shared" si="26"/>
        <v>3.4450385310907872</v>
      </c>
      <c r="AB114" s="25">
        <f t="shared" si="30"/>
        <v>3.0252501184066513E-2</v>
      </c>
      <c r="AC114" s="25">
        <f t="shared" si="27"/>
        <v>-0.14117244138217844</v>
      </c>
      <c r="AD114" s="34">
        <f t="shared" si="31"/>
        <v>-0.31946320416274981</v>
      </c>
      <c r="AF114" s="24">
        <v>5.1693379762716303</v>
      </c>
      <c r="AG114" s="23">
        <v>41.295163111951197</v>
      </c>
      <c r="AH114" s="23">
        <v>4.1955200775688297</v>
      </c>
      <c r="AI114" s="23">
        <v>31.8061424219852</v>
      </c>
      <c r="AJ114" s="23">
        <v>7.9921255133653997</v>
      </c>
      <c r="AK114" s="23">
        <v>58.812622250440597</v>
      </c>
      <c r="AL114" s="23">
        <v>44.188060230327501</v>
      </c>
      <c r="AM114" s="23">
        <v>76.528110405316696</v>
      </c>
      <c r="AN114" s="23">
        <v>7.3553315114635103</v>
      </c>
      <c r="AO114" s="23">
        <v>12.7330076859492</v>
      </c>
      <c r="AP114" s="23">
        <v>8.3503846176752301</v>
      </c>
      <c r="AQ114" s="23">
        <v>14.414191827550599</v>
      </c>
      <c r="AR114" s="23">
        <v>2.5968274102493898</v>
      </c>
      <c r="AS114" s="23">
        <v>22.171442785439499</v>
      </c>
      <c r="AT114" s="23">
        <v>14.906333260797</v>
      </c>
      <c r="AU114" s="23">
        <v>12.164018034348</v>
      </c>
      <c r="AV114" s="23">
        <v>2.48728966113987</v>
      </c>
      <c r="AW114" s="23">
        <v>-1.74419489309975</v>
      </c>
      <c r="AX114" s="23">
        <v>4.4570440665202602</v>
      </c>
      <c r="AY114" s="23">
        <v>-2.1443566043624198</v>
      </c>
      <c r="AZ114" s="23">
        <v>3.71059124830431</v>
      </c>
      <c r="BA114" s="23">
        <v>-2.1960222352735399</v>
      </c>
      <c r="BB114" s="23">
        <v>2.8085095476299</v>
      </c>
      <c r="BC114" s="23">
        <v>-1.1155339551813599</v>
      </c>
      <c r="BD114" s="23">
        <v>1.8102930833117901</v>
      </c>
      <c r="BE114" s="23">
        <v>-0.30222196544041202</v>
      </c>
      <c r="BF114" s="23">
        <v>2.07633644493432</v>
      </c>
      <c r="BG114" s="23">
        <v>-0.12498229022818801</v>
      </c>
      <c r="BH114" s="23">
        <v>0.55243595486063202</v>
      </c>
      <c r="BI114" s="23">
        <v>-0.26534705639539002</v>
      </c>
      <c r="BJ114" s="23">
        <v>0.23156060907738801</v>
      </c>
      <c r="BK114" s="36">
        <v>3.5626698507280799E-2</v>
      </c>
      <c r="BM114" s="35">
        <v>0.124192843991297</v>
      </c>
      <c r="BN114" s="21">
        <v>49.165002994192797</v>
      </c>
      <c r="BO114" s="25">
        <v>0.126204548407398</v>
      </c>
      <c r="BP114" s="21">
        <v>61.093439900425402</v>
      </c>
      <c r="BQ114" s="25">
        <v>0.124187038620632</v>
      </c>
      <c r="BR114" s="21">
        <v>71.736607369343304</v>
      </c>
      <c r="BS114" s="25">
        <v>0.12619015085048799</v>
      </c>
      <c r="BT114" s="32">
        <v>64.301140784135299</v>
      </c>
      <c r="BV114" s="37">
        <f>14370228/1000000</f>
        <v>14.370227999999999</v>
      </c>
      <c r="BW114" s="2">
        <v>1000</v>
      </c>
      <c r="BX114" s="2">
        <v>750</v>
      </c>
      <c r="BY114" s="21">
        <v>11.7637944486944</v>
      </c>
      <c r="BZ114" s="21">
        <v>46.524832862000103</v>
      </c>
      <c r="CA114" s="45">
        <v>9.2827059233295793E-6</v>
      </c>
      <c r="CB114" s="45">
        <v>6.0424401064377601E-3</v>
      </c>
      <c r="CC114" s="45">
        <v>1.34941803244221E-4</v>
      </c>
      <c r="CD114" s="45">
        <v>3.4410037738567199E-4</v>
      </c>
      <c r="CE114" s="45">
        <v>3.9849843309140801E-4</v>
      </c>
      <c r="CF114" s="45">
        <v>3.3209586081368202E-4</v>
      </c>
      <c r="CG114" s="23"/>
      <c r="CH114" s="21">
        <v>14.212882995605399</v>
      </c>
      <c r="CI114" s="21"/>
      <c r="CJ114" s="38"/>
      <c r="CL114" s="88">
        <v>-9.8685037820239394E-2</v>
      </c>
      <c r="CM114" s="2">
        <v>-252.03677130741099</v>
      </c>
      <c r="CN114" s="20">
        <v>-29.954760399700501</v>
      </c>
    </row>
    <row r="115" spans="2:92" s="2" customFormat="1" x14ac:dyDescent="0.25">
      <c r="B115" s="2" t="s">
        <v>355</v>
      </c>
      <c r="C115" s="2" t="s">
        <v>348</v>
      </c>
      <c r="D115" s="20"/>
      <c r="E115" s="19">
        <v>39.6</v>
      </c>
      <c r="F115" s="2">
        <v>27.8</v>
      </c>
      <c r="G115" s="21">
        <v>4.049999999999998</v>
      </c>
      <c r="H115" s="21">
        <v>1.58</v>
      </c>
      <c r="I115" s="21">
        <v>3.1749999999999998</v>
      </c>
      <c r="J115" s="21">
        <v>3.0750000000000002</v>
      </c>
      <c r="K115" s="21">
        <f t="shared" si="24"/>
        <v>-0.43902390528025248</v>
      </c>
      <c r="L115" s="2">
        <v>28.164000000000001</v>
      </c>
      <c r="M115" s="20">
        <v>11</v>
      </c>
      <c r="N115" s="24">
        <v>109.19460164510301</v>
      </c>
      <c r="O115" s="23">
        <v>-17.242137460134298</v>
      </c>
      <c r="P115" s="23">
        <v>235.08293969075399</v>
      </c>
      <c r="Q115" s="23">
        <f t="shared" si="22"/>
        <v>71.181102161952708</v>
      </c>
      <c r="R115" s="23">
        <f t="shared" si="23"/>
        <v>163.90183752880131</v>
      </c>
      <c r="S115" s="25">
        <f t="shared" si="25"/>
        <v>2.1528806016876625</v>
      </c>
      <c r="T115" s="21">
        <v>1.5019542862903701</v>
      </c>
      <c r="U115" s="21">
        <v>-29.005475630435001</v>
      </c>
      <c r="V115" s="21">
        <v>-6.5817692289640499</v>
      </c>
      <c r="W115" s="21">
        <f t="shared" si="29"/>
        <v>52.378266938495756</v>
      </c>
      <c r="X115" s="32">
        <f t="shared" si="33"/>
        <v>30.279144141888708</v>
      </c>
      <c r="Y115" s="35">
        <f t="shared" si="28"/>
        <v>1.4733628152484801</v>
      </c>
      <c r="Z115" s="25">
        <f t="shared" si="32"/>
        <v>-0.23264816947389841</v>
      </c>
      <c r="AA115" s="25">
        <f t="shared" si="26"/>
        <v>3.1719742241963766</v>
      </c>
      <c r="AB115" s="25">
        <f t="shared" si="30"/>
        <v>2.0265869944886085E-2</v>
      </c>
      <c r="AC115" s="25">
        <f t="shared" si="27"/>
        <v>-0.39137089735786806</v>
      </c>
      <c r="AD115" s="34">
        <f t="shared" si="31"/>
        <v>-8.8807815536704998E-2</v>
      </c>
      <c r="AF115" s="24">
        <v>4.9864632185148396</v>
      </c>
      <c r="AG115" s="23">
        <v>38.436349964187997</v>
      </c>
      <c r="AH115" s="23">
        <v>3.2484594784385301</v>
      </c>
      <c r="AI115" s="23">
        <v>22.865513777847301</v>
      </c>
      <c r="AJ115" s="23">
        <v>7.3129548375707598</v>
      </c>
      <c r="AK115" s="23">
        <v>50.903163131219998</v>
      </c>
      <c r="AL115" s="23">
        <v>41.150780512908398</v>
      </c>
      <c r="AM115" s="23">
        <v>75.3063447390509</v>
      </c>
      <c r="AN115" s="23">
        <v>6.8472145302706799</v>
      </c>
      <c r="AO115" s="23">
        <v>12.0912735241539</v>
      </c>
      <c r="AP115" s="23">
        <v>7.3729253239129902</v>
      </c>
      <c r="AQ115" s="23">
        <v>12.624537055145</v>
      </c>
      <c r="AR115" s="23">
        <v>2.5282803392524298</v>
      </c>
      <c r="AS115" s="23">
        <v>27.824123722382801</v>
      </c>
      <c r="AT115" s="23">
        <v>13.9980730914834</v>
      </c>
      <c r="AU115" s="23">
        <v>9.6939929369921796</v>
      </c>
      <c r="AV115" s="23">
        <v>3.81610946041229</v>
      </c>
      <c r="AW115" s="23">
        <v>-1.44194058011871</v>
      </c>
      <c r="AX115" s="23">
        <v>5.1581721277565897</v>
      </c>
      <c r="AY115" s="23">
        <v>-2.6466085653648301</v>
      </c>
      <c r="AZ115" s="23">
        <v>3.20561112535214</v>
      </c>
      <c r="BA115" s="23">
        <v>-1.71651905758583</v>
      </c>
      <c r="BB115" s="23">
        <v>2.9399553660328799</v>
      </c>
      <c r="BC115" s="23">
        <v>-0.99620297129039304</v>
      </c>
      <c r="BD115" s="23">
        <v>1.75251805263071</v>
      </c>
      <c r="BE115" s="23">
        <v>-0.21468215878622501</v>
      </c>
      <c r="BF115" s="23">
        <v>1.8246186903896999</v>
      </c>
      <c r="BG115" s="23">
        <v>-0.27609272190012202</v>
      </c>
      <c r="BH115" s="23">
        <v>0.728931320070901</v>
      </c>
      <c r="BI115" s="23">
        <v>-0.17008411648669999</v>
      </c>
      <c r="BJ115" s="23">
        <v>0.28128142207807599</v>
      </c>
      <c r="BK115" s="36">
        <v>6.8596185509950502E-2</v>
      </c>
      <c r="BM115" s="35">
        <v>0.124483570963835</v>
      </c>
      <c r="BN115" s="21">
        <v>49.951483895950297</v>
      </c>
      <c r="BO115" s="25">
        <v>0.12507839642750601</v>
      </c>
      <c r="BP115" s="21">
        <v>56.872036103159303</v>
      </c>
      <c r="BQ115" s="25">
        <v>0.12449067694018601</v>
      </c>
      <c r="BR115" s="21">
        <v>70.963894985790901</v>
      </c>
      <c r="BS115" s="25">
        <v>0.12509539510473</v>
      </c>
      <c r="BT115" s="32">
        <v>69.1920808539886</v>
      </c>
      <c r="BV115" s="37">
        <f>14738060/1000000</f>
        <v>14.738060000000001</v>
      </c>
      <c r="BW115" s="2">
        <v>1000</v>
      </c>
      <c r="BX115" s="2">
        <v>750</v>
      </c>
      <c r="BY115" s="21">
        <v>10.034327901443801</v>
      </c>
      <c r="BZ115" s="21">
        <v>40.154090536797398</v>
      </c>
      <c r="CA115" s="45">
        <v>1.07359025257461E-5</v>
      </c>
      <c r="CB115" s="45">
        <v>5.66894733031821E-3</v>
      </c>
      <c r="CC115" s="45">
        <v>1.43561635537514E-4</v>
      </c>
      <c r="CD115" s="45">
        <v>4.4728285340945797E-4</v>
      </c>
      <c r="CE115" s="45">
        <v>3.9414149349625897E-4</v>
      </c>
      <c r="CF115" s="45">
        <v>4.10450815871576E-4</v>
      </c>
      <c r="CG115" s="23"/>
      <c r="CH115" s="21">
        <v>42.246437072753899</v>
      </c>
      <c r="CI115" s="21"/>
      <c r="CJ115" s="38"/>
      <c r="CL115" s="88">
        <v>6.7090797992509401</v>
      </c>
      <c r="CM115" s="2">
        <v>-252.40882979435401</v>
      </c>
      <c r="CN115" s="20">
        <v>7.3850517992431799</v>
      </c>
    </row>
    <row r="116" spans="2:92" s="2" customFormat="1" x14ac:dyDescent="0.25">
      <c r="B116" s="2" t="s">
        <v>356</v>
      </c>
      <c r="C116" s="2" t="s">
        <v>349</v>
      </c>
      <c r="D116" s="20"/>
      <c r="E116" s="19">
        <v>47.6</v>
      </c>
      <c r="F116" s="2">
        <v>42.2</v>
      </c>
      <c r="G116" s="21">
        <v>5.8499999999999845</v>
      </c>
      <c r="H116" s="21">
        <v>1.74</v>
      </c>
      <c r="I116" s="21">
        <v>7.1150000000000002</v>
      </c>
      <c r="J116" s="21">
        <v>6.6360000000000001</v>
      </c>
      <c r="K116" s="21">
        <f t="shared" si="24"/>
        <v>-0.20090769052351576</v>
      </c>
      <c r="L116" s="2">
        <v>12.722</v>
      </c>
      <c r="M116" s="20">
        <v>11</v>
      </c>
      <c r="N116" s="24">
        <v>109.896385649805</v>
      </c>
      <c r="O116" s="23">
        <v>-14.766909479128699</v>
      </c>
      <c r="P116" s="23">
        <v>235.62608031298501</v>
      </c>
      <c r="Q116" s="23">
        <f t="shared" si="22"/>
        <v>66.931428863008364</v>
      </c>
      <c r="R116" s="23">
        <f t="shared" si="23"/>
        <v>168.69465144997665</v>
      </c>
      <c r="S116" s="25">
        <f t="shared" si="25"/>
        <v>2.1440748839896275</v>
      </c>
      <c r="T116" s="21">
        <v>5.4771667386101797</v>
      </c>
      <c r="U116" s="21">
        <v>-35.734504669992603</v>
      </c>
      <c r="V116" s="21">
        <v>-18.8524289857958</v>
      </c>
      <c r="W116" s="21">
        <f t="shared" si="29"/>
        <v>53.514315771025835</v>
      </c>
      <c r="X116" s="32">
        <f t="shared" si="33"/>
        <v>28.405781216621918</v>
      </c>
      <c r="Y116" s="35">
        <f t="shared" si="28"/>
        <v>1.4828319871790181</v>
      </c>
      <c r="Z116" s="25">
        <f t="shared" si="32"/>
        <v>-0.19924991707375539</v>
      </c>
      <c r="AA116" s="25">
        <f t="shared" si="26"/>
        <v>3.1793028208869623</v>
      </c>
      <c r="AB116" s="25">
        <f t="shared" si="30"/>
        <v>7.3903413575445151E-2</v>
      </c>
      <c r="AC116" s="25">
        <f t="shared" si="27"/>
        <v>-0.48216568959342349</v>
      </c>
      <c r="AD116" s="34">
        <f t="shared" si="31"/>
        <v>-0.25437583384443646</v>
      </c>
      <c r="AF116" s="24">
        <v>4.7011838679940796</v>
      </c>
      <c r="AG116" s="23">
        <v>35.543703973408199</v>
      </c>
      <c r="AH116" s="23">
        <v>3.9138623825754402</v>
      </c>
      <c r="AI116" s="23">
        <v>28.385132360056499</v>
      </c>
      <c r="AJ116" s="23">
        <v>7.0795852238068298</v>
      </c>
      <c r="AK116" s="23">
        <v>47.717248177363103</v>
      </c>
      <c r="AL116" s="23">
        <v>42.620527334482503</v>
      </c>
      <c r="AM116" s="23">
        <v>74.521004714581807</v>
      </c>
      <c r="AN116" s="23">
        <v>6.9134428296143398</v>
      </c>
      <c r="AO116" s="23">
        <v>12.203767522129599</v>
      </c>
      <c r="AP116" s="23">
        <v>7.6024284530665804</v>
      </c>
      <c r="AQ116" s="23">
        <v>14.0395389398065</v>
      </c>
      <c r="AR116" s="23">
        <v>2.9690369715890799</v>
      </c>
      <c r="AS116" s="23">
        <v>28.9431639303438</v>
      </c>
      <c r="AT116" s="23">
        <v>13.948308276589</v>
      </c>
      <c r="AU116" s="23">
        <v>9.0218953050062307</v>
      </c>
      <c r="AV116" s="23">
        <v>2.5879800849982901</v>
      </c>
      <c r="AW116" s="23">
        <v>-1.40409297328232</v>
      </c>
      <c r="AX116" s="23">
        <v>5.2095174699352498</v>
      </c>
      <c r="AY116" s="23">
        <v>-2.5460590778272301</v>
      </c>
      <c r="AZ116" s="23">
        <v>4.27776724348554</v>
      </c>
      <c r="BA116" s="23">
        <v>-2.0890169688467601</v>
      </c>
      <c r="BB116" s="23">
        <v>2.18370887881651</v>
      </c>
      <c r="BC116" s="23">
        <v>-1.1344386810659299</v>
      </c>
      <c r="BD116" s="23">
        <v>1.8577959301884499</v>
      </c>
      <c r="BE116" s="23">
        <v>-0.17009291919918601</v>
      </c>
      <c r="BF116" s="23">
        <v>1.9151264650600399</v>
      </c>
      <c r="BG116" s="23">
        <v>-7.7747752658467201E-2</v>
      </c>
      <c r="BH116" s="23">
        <v>0.47638853728033398</v>
      </c>
      <c r="BI116" s="23">
        <v>-0.14646205523064801</v>
      </c>
      <c r="BJ116" s="23">
        <v>0.20365569251148</v>
      </c>
      <c r="BK116" s="36">
        <v>-0.107451177974379</v>
      </c>
      <c r="BM116" s="35">
        <v>0.12465323171937701</v>
      </c>
      <c r="BN116" s="21">
        <v>52.770540475463797</v>
      </c>
      <c r="BO116" s="25">
        <v>0.12476612451305399</v>
      </c>
      <c r="BP116" s="21">
        <v>57.8719273202666</v>
      </c>
      <c r="BQ116" s="25">
        <v>0.12468978415752199</v>
      </c>
      <c r="BR116" s="21">
        <v>69.882105808781105</v>
      </c>
      <c r="BS116" s="25">
        <v>0.12476233563695301</v>
      </c>
      <c r="BT116" s="32">
        <v>70.182024649590005</v>
      </c>
      <c r="BV116" s="37">
        <f>14453956/1000000</f>
        <v>14.453956</v>
      </c>
      <c r="BW116" s="2">
        <v>1000</v>
      </c>
      <c r="BX116" s="2">
        <v>750</v>
      </c>
      <c r="BY116" s="21">
        <v>8.92154810363885</v>
      </c>
      <c r="BZ116" s="21">
        <v>35.710434736399499</v>
      </c>
      <c r="CA116" s="45">
        <v>1.21958260056591E-5</v>
      </c>
      <c r="CB116" s="45">
        <v>6.1202231475512899E-3</v>
      </c>
      <c r="CC116" s="45">
        <v>1.5361901310687501E-4</v>
      </c>
      <c r="CD116" s="45">
        <v>4.4576544961755102E-4</v>
      </c>
      <c r="CE116" s="45">
        <v>4.67986493510875E-4</v>
      </c>
      <c r="CF116" s="45">
        <v>4.3666168560017101E-4</v>
      </c>
      <c r="CG116" s="23"/>
      <c r="CH116" s="21">
        <v>42.683269500732401</v>
      </c>
      <c r="CI116" s="21"/>
      <c r="CJ116" s="38"/>
      <c r="CL116" s="88">
        <v>9.9367734013070592</v>
      </c>
      <c r="CM116" s="2">
        <v>-259.78976323296399</v>
      </c>
      <c r="CN116" s="20">
        <v>-6.8906416313224197</v>
      </c>
    </row>
    <row r="117" spans="2:92" s="2" customFormat="1" x14ac:dyDescent="0.25">
      <c r="B117" s="2" t="s">
        <v>367</v>
      </c>
      <c r="C117" s="2" t="s">
        <v>362</v>
      </c>
      <c r="D117" s="20"/>
      <c r="E117" s="19">
        <v>38.299999999999997</v>
      </c>
      <c r="F117" s="2">
        <v>22</v>
      </c>
      <c r="G117" s="21">
        <v>1</v>
      </c>
      <c r="H117" s="21">
        <v>0.39</v>
      </c>
      <c r="I117" s="21">
        <v>0</v>
      </c>
      <c r="J117" s="21">
        <v>0</v>
      </c>
      <c r="K117" s="21">
        <f t="shared" si="24"/>
        <v>-0.6064536654448146</v>
      </c>
      <c r="L117" s="2">
        <v>0</v>
      </c>
      <c r="M117" s="20">
        <v>11</v>
      </c>
      <c r="N117" s="24">
        <v>109.216893735081</v>
      </c>
      <c r="O117" s="23">
        <v>5.5838403676943802</v>
      </c>
      <c r="P117" s="23">
        <v>234.648583730745</v>
      </c>
      <c r="Q117" s="23">
        <f t="shared" si="22"/>
        <v>64.111847789903479</v>
      </c>
      <c r="R117" s="23">
        <f t="shared" si="23"/>
        <v>170.53673594084154</v>
      </c>
      <c r="S117" s="25">
        <f t="shared" si="25"/>
        <v>2.1484641771621336</v>
      </c>
      <c r="T117" s="21">
        <v>0.37393211143423299</v>
      </c>
      <c r="U117" s="21">
        <v>-39.5683326756482</v>
      </c>
      <c r="V117" s="21">
        <v>-0.81691777221399997</v>
      </c>
      <c r="W117" s="21">
        <f t="shared" si="29"/>
        <v>49.533917323392195</v>
      </c>
      <c r="X117" s="32">
        <f t="shared" si="33"/>
        <v>27.322495099084279</v>
      </c>
      <c r="Y117" s="35">
        <f t="shared" si="28"/>
        <v>1.4736636024298329</v>
      </c>
      <c r="Z117" s="25">
        <f t="shared" si="32"/>
        <v>7.5342760906653788E-2</v>
      </c>
      <c r="AA117" s="25">
        <f t="shared" si="26"/>
        <v>3.1661134590081965</v>
      </c>
      <c r="AB117" s="25">
        <f t="shared" si="30"/>
        <v>5.0454661687870861E-3</v>
      </c>
      <c r="AC117" s="25">
        <f t="shared" si="27"/>
        <v>-0.53389553281360358</v>
      </c>
      <c r="AD117" s="34">
        <f t="shared" si="31"/>
        <v>-1.1022671913833697E-2</v>
      </c>
      <c r="AF117" s="24">
        <v>3.5444065643276699</v>
      </c>
      <c r="AG117" s="23">
        <v>21.8928312646294</v>
      </c>
      <c r="AH117" s="23">
        <v>4.47897253471002</v>
      </c>
      <c r="AI117" s="23">
        <v>26.3746878511574</v>
      </c>
      <c r="AJ117" s="23">
        <v>7.3805898157497598</v>
      </c>
      <c r="AK117" s="23">
        <v>51.231284605570899</v>
      </c>
      <c r="AL117" s="23">
        <v>40.793229647681599</v>
      </c>
      <c r="AM117" s="23">
        <v>76.969759549201399</v>
      </c>
      <c r="AN117" s="23">
        <v>7.1793460380157601</v>
      </c>
      <c r="AO117" s="23">
        <v>12.268142799027</v>
      </c>
      <c r="AP117" s="23">
        <v>7.0286582349127897</v>
      </c>
      <c r="AQ117" s="23">
        <v>12.6433164656651</v>
      </c>
      <c r="AR117" s="23">
        <v>3.3995443868853901</v>
      </c>
      <c r="AS117" s="23">
        <v>41.266677112349903</v>
      </c>
      <c r="AT117" s="23">
        <v>14.1206659101695</v>
      </c>
      <c r="AU117" s="23">
        <v>6.0356451553695303</v>
      </c>
      <c r="AV117" s="23">
        <v>4.6607485978847896</v>
      </c>
      <c r="AW117" s="23">
        <v>-1.88441394759627</v>
      </c>
      <c r="AX117" s="23">
        <v>3.97363683529777</v>
      </c>
      <c r="AY117" s="23">
        <v>-2.0592395465183699</v>
      </c>
      <c r="AZ117" s="23">
        <v>2.6906356706273198</v>
      </c>
      <c r="BA117" s="23">
        <v>-1.30437210006855</v>
      </c>
      <c r="BB117" s="23">
        <v>2.61416718284182</v>
      </c>
      <c r="BC117" s="23">
        <v>-1.3901093885525699</v>
      </c>
      <c r="BD117" s="23">
        <v>1.8475694485663501</v>
      </c>
      <c r="BE117" s="23">
        <v>-0.221325120150967</v>
      </c>
      <c r="BF117" s="23">
        <v>1.9113392834307501</v>
      </c>
      <c r="BG117" s="23">
        <v>-0.19755754807534501</v>
      </c>
      <c r="BH117" s="23">
        <v>0.38186971177221501</v>
      </c>
      <c r="BI117" s="23">
        <v>8.1585896244372996E-3</v>
      </c>
      <c r="BJ117" s="23">
        <v>0.46838309543101703</v>
      </c>
      <c r="BK117" s="36">
        <v>-3.03952563434748E-2</v>
      </c>
      <c r="BM117" s="35">
        <v>0.12501561285651799</v>
      </c>
      <c r="BN117" s="21">
        <v>55.353611660254103</v>
      </c>
      <c r="BO117" s="25">
        <v>0.12520109043560901</v>
      </c>
      <c r="BP117" s="21">
        <v>55.418047936774897</v>
      </c>
      <c r="BQ117" s="25">
        <v>0.12505108854200001</v>
      </c>
      <c r="BR117" s="21">
        <v>68.314103791678704</v>
      </c>
      <c r="BS117" s="25">
        <v>0.125220850583635</v>
      </c>
      <c r="BT117" s="32">
        <v>68.282643922105095</v>
      </c>
      <c r="BV117" s="37">
        <f>14102348/1000000</f>
        <v>14.102347999999999</v>
      </c>
      <c r="BW117" s="2">
        <v>1000</v>
      </c>
      <c r="BX117" s="2">
        <v>750</v>
      </c>
      <c r="BY117" s="21">
        <v>11.0849914611949</v>
      </c>
      <c r="BZ117" s="21">
        <v>44.3962477484056</v>
      </c>
      <c r="CA117" s="45">
        <v>1.15771913342322E-5</v>
      </c>
      <c r="CB117" s="45">
        <v>6.3552388733854603E-3</v>
      </c>
      <c r="CC117" s="45">
        <v>1.57446049865361E-4</v>
      </c>
      <c r="CD117" s="45">
        <v>5.5476097384384699E-4</v>
      </c>
      <c r="CE117" s="45">
        <v>3.5195546637811298E-4</v>
      </c>
      <c r="CF117" s="45">
        <v>4.7002722990284002E-4</v>
      </c>
      <c r="CG117" s="23"/>
      <c r="CH117" s="21">
        <v>37.186073303222599</v>
      </c>
      <c r="CI117" s="21"/>
      <c r="CJ117" s="38"/>
      <c r="CL117" s="88">
        <v>-1.31238767960947</v>
      </c>
      <c r="CM117" s="2">
        <v>-262.62657334889599</v>
      </c>
      <c r="CN117" s="20">
        <v>-5.3400518236611596</v>
      </c>
    </row>
    <row r="118" spans="2:92" s="2" customFormat="1" x14ac:dyDescent="0.25">
      <c r="B118" s="2" t="s">
        <v>368</v>
      </c>
      <c r="C118" s="2" t="s">
        <v>363</v>
      </c>
      <c r="D118" s="20"/>
      <c r="E118" s="19">
        <v>45</v>
      </c>
      <c r="F118" s="2">
        <v>35.4</v>
      </c>
      <c r="G118" s="21">
        <v>1</v>
      </c>
      <c r="H118" s="21">
        <v>0.32600000000000001</v>
      </c>
      <c r="I118" s="21">
        <v>0</v>
      </c>
      <c r="J118" s="21">
        <v>0</v>
      </c>
      <c r="K118" s="21">
        <f t="shared" si="24"/>
        <v>-0.35717080895827291</v>
      </c>
      <c r="L118" s="2">
        <v>0</v>
      </c>
      <c r="M118" s="20">
        <v>11</v>
      </c>
      <c r="N118" s="24">
        <v>111.804126085733</v>
      </c>
      <c r="O118" s="23">
        <v>5.1731056868801497</v>
      </c>
      <c r="P118" s="23">
        <v>238.03482886073101</v>
      </c>
      <c r="Q118" s="23">
        <f t="shared" si="22"/>
        <v>70.549120107606981</v>
      </c>
      <c r="R118" s="23">
        <f t="shared" si="23"/>
        <v>167.48570875312402</v>
      </c>
      <c r="S118" s="25">
        <f t="shared" si="25"/>
        <v>2.1290343853517757</v>
      </c>
      <c r="T118" s="21">
        <v>-2.5269700451239299</v>
      </c>
      <c r="U118" s="21">
        <v>-31.3454126315726</v>
      </c>
      <c r="V118" s="21">
        <v>-0.40719362612980597</v>
      </c>
      <c r="W118" s="21">
        <f t="shared" si="29"/>
        <v>48.568399989288167</v>
      </c>
      <c r="X118" s="32">
        <f t="shared" si="33"/>
        <v>29.63815020065141</v>
      </c>
      <c r="Y118" s="35">
        <f t="shared" si="28"/>
        <v>1.5085731298462874</v>
      </c>
      <c r="Z118" s="25">
        <f t="shared" si="32"/>
        <v>6.9800717650600766E-2</v>
      </c>
      <c r="AA118" s="25">
        <f t="shared" si="26"/>
        <v>3.2118040662604956</v>
      </c>
      <c r="AB118" s="25">
        <f t="shared" si="30"/>
        <v>-3.4096408097472483E-2</v>
      </c>
      <c r="AC118" s="25">
        <f t="shared" si="27"/>
        <v>-0.42294366849819659</v>
      </c>
      <c r="AD118" s="34">
        <f t="shared" si="31"/>
        <v>-5.494263803404364E-3</v>
      </c>
      <c r="AF118" s="24">
        <v>4.4495651582760098</v>
      </c>
      <c r="AG118" s="23">
        <v>29.179082632743601</v>
      </c>
      <c r="AH118" s="23">
        <v>4.5341113833593596</v>
      </c>
      <c r="AI118" s="23">
        <v>27.719058731711399</v>
      </c>
      <c r="AJ118" s="23">
        <v>7.4931606653191496</v>
      </c>
      <c r="AK118" s="23">
        <v>52.0648499535572</v>
      </c>
      <c r="AL118" s="23">
        <v>41.609095747248297</v>
      </c>
      <c r="AM118" s="23">
        <v>76.892393279389196</v>
      </c>
      <c r="AN118" s="23">
        <v>6.9287853054988897</v>
      </c>
      <c r="AO118" s="23">
        <v>12.7342307527624</v>
      </c>
      <c r="AP118" s="23">
        <v>7.2661689142251502</v>
      </c>
      <c r="AQ118" s="23">
        <v>12.726250312831</v>
      </c>
      <c r="AR118" s="23">
        <v>3.0259342836735699</v>
      </c>
      <c r="AS118" s="23">
        <v>32.017800338488101</v>
      </c>
      <c r="AT118" s="23">
        <v>14.792845315441401</v>
      </c>
      <c r="AU118" s="23">
        <v>8.7931443143424897</v>
      </c>
      <c r="AV118" s="23">
        <v>4.4427828889583703</v>
      </c>
      <c r="AW118" s="23">
        <v>-1.9883669450794801</v>
      </c>
      <c r="AX118" s="23">
        <v>3.88385541585202</v>
      </c>
      <c r="AY118" s="23">
        <v>-1.98328694957203</v>
      </c>
      <c r="AZ118" s="23">
        <v>2.8741685743718399</v>
      </c>
      <c r="BA118" s="23">
        <v>-1.4938146899310101</v>
      </c>
      <c r="BB118" s="23">
        <v>2.74629224005652</v>
      </c>
      <c r="BC118" s="23">
        <v>-1.62168644310716</v>
      </c>
      <c r="BD118" s="23">
        <v>1.85736587046393</v>
      </c>
      <c r="BE118" s="23">
        <v>-0.17620474109300999</v>
      </c>
      <c r="BF118" s="23">
        <v>1.9387965142281101</v>
      </c>
      <c r="BG118" s="23">
        <v>-0.130073232715222</v>
      </c>
      <c r="BH118" s="23">
        <v>0.415096170336198</v>
      </c>
      <c r="BI118" s="23">
        <v>-8.0796401528011805E-3</v>
      </c>
      <c r="BJ118" s="23">
        <v>0.45258122458086297</v>
      </c>
      <c r="BK118" s="36">
        <v>6.4455627896946199E-2</v>
      </c>
      <c r="BM118" s="35">
        <v>0.12608605053306399</v>
      </c>
      <c r="BN118" s="21">
        <v>57.135645935199001</v>
      </c>
      <c r="BO118" s="25">
        <v>0.124687321993793</v>
      </c>
      <c r="BP118" s="21">
        <v>57.6665937204694</v>
      </c>
      <c r="BQ118" s="25">
        <v>0.12606290252986699</v>
      </c>
      <c r="BR118" s="21">
        <v>64.570375915612004</v>
      </c>
      <c r="BS118" s="25">
        <v>0.1246752507399</v>
      </c>
      <c r="BT118" s="32">
        <v>66.866176814336598</v>
      </c>
      <c r="BV118" s="37">
        <f>14060393/1000000</f>
        <v>14.060392999999999</v>
      </c>
      <c r="BW118" s="2">
        <v>1000</v>
      </c>
      <c r="BX118" s="2">
        <v>750</v>
      </c>
      <c r="BY118" s="21">
        <v>9.8692569171656004</v>
      </c>
      <c r="BZ118" s="21">
        <v>39.229740537995397</v>
      </c>
      <c r="CA118" s="45">
        <v>9.7035823990105302E-6</v>
      </c>
      <c r="CB118" s="45">
        <v>6.5334606873130203E-3</v>
      </c>
      <c r="CC118" s="45">
        <v>1.4027747165630899E-4</v>
      </c>
      <c r="CD118" s="45">
        <v>4.3749818665942298E-4</v>
      </c>
      <c r="CE118" s="45">
        <v>2.9002440799178402E-4</v>
      </c>
      <c r="CF118" s="45">
        <v>3.9058187852687601E-4</v>
      </c>
      <c r="CG118" s="23"/>
      <c r="CH118" s="21">
        <v>28.037693023681602</v>
      </c>
      <c r="CI118" s="21"/>
      <c r="CJ118" s="38"/>
      <c r="CL118" s="88">
        <v>-4.0892479625617399</v>
      </c>
      <c r="CM118" s="2">
        <v>-257.927991479811</v>
      </c>
      <c r="CN118" s="20">
        <v>-4.5976161567301999</v>
      </c>
    </row>
    <row r="119" spans="2:92" s="2" customFormat="1" x14ac:dyDescent="0.25">
      <c r="B119" s="2" t="s">
        <v>370</v>
      </c>
      <c r="C119" s="2" t="s">
        <v>364</v>
      </c>
      <c r="D119" s="20"/>
      <c r="E119" s="19">
        <v>49.9</v>
      </c>
      <c r="F119" s="2">
        <v>43</v>
      </c>
      <c r="G119" s="21">
        <v>1</v>
      </c>
      <c r="H119" s="21">
        <v>0.46</v>
      </c>
      <c r="I119" s="21">
        <v>0</v>
      </c>
      <c r="J119" s="21">
        <v>0</v>
      </c>
      <c r="K119" s="21">
        <f t="shared" si="24"/>
        <v>-0.2567157151951423</v>
      </c>
      <c r="L119" s="2">
        <v>0</v>
      </c>
      <c r="M119" s="20">
        <v>11</v>
      </c>
      <c r="N119" s="24">
        <v>114.208174358992</v>
      </c>
      <c r="O119" s="23">
        <v>6.62224884186789</v>
      </c>
      <c r="P119" s="23">
        <v>252.108002438733</v>
      </c>
      <c r="Q119" s="23">
        <f t="shared" si="22"/>
        <v>80.170033867389506</v>
      </c>
      <c r="R119" s="23">
        <f t="shared" si="23"/>
        <v>171.93796857134348</v>
      </c>
      <c r="S119" s="25">
        <f t="shared" si="25"/>
        <v>2.2074427146193472</v>
      </c>
      <c r="T119" s="21">
        <v>1.01686048208757</v>
      </c>
      <c r="U119" s="21">
        <v>-26.076036647982001</v>
      </c>
      <c r="V119" s="21">
        <v>-0.53461645076464903</v>
      </c>
      <c r="W119" s="21">
        <f t="shared" si="29"/>
        <v>49.675053727421371</v>
      </c>
      <c r="X119" s="32">
        <f t="shared" si="33"/>
        <v>31.799876676612968</v>
      </c>
      <c r="Y119" s="35">
        <f t="shared" si="28"/>
        <v>1.5410109544137895</v>
      </c>
      <c r="Z119" s="25">
        <f t="shared" si="32"/>
        <v>8.935400697409869E-2</v>
      </c>
      <c r="AA119" s="25">
        <f t="shared" si="26"/>
        <v>3.4016934044693263</v>
      </c>
      <c r="AB119" s="25">
        <f t="shared" si="30"/>
        <v>1.3720498999326291E-2</v>
      </c>
      <c r="AC119" s="25">
        <f t="shared" si="27"/>
        <v>-0.35184397568537018</v>
      </c>
      <c r="AD119" s="34">
        <f t="shared" si="31"/>
        <v>-7.2135800406766598E-3</v>
      </c>
      <c r="AF119" s="24">
        <v>4.2787400057115201</v>
      </c>
      <c r="AG119" s="23">
        <v>29.3330343526817</v>
      </c>
      <c r="AH119" s="23">
        <v>4.8858704413282004</v>
      </c>
      <c r="AI119" s="23">
        <v>40.921698223316199</v>
      </c>
      <c r="AJ119" s="23">
        <v>7.5580145859842398</v>
      </c>
      <c r="AK119" s="23">
        <v>52.472695671403699</v>
      </c>
      <c r="AL119" s="23">
        <v>43.582003009024902</v>
      </c>
      <c r="AM119" s="23">
        <v>78.704653645258801</v>
      </c>
      <c r="AN119" s="23">
        <v>7.3116028494113996</v>
      </c>
      <c r="AO119" s="23">
        <v>13.187050784591101</v>
      </c>
      <c r="AP119" s="23">
        <v>6.8965530051542299</v>
      </c>
      <c r="AQ119" s="23">
        <v>12.500280783914601</v>
      </c>
      <c r="AR119" s="23">
        <v>2.7401329920575201</v>
      </c>
      <c r="AS119" s="23">
        <v>26.651579713551701</v>
      </c>
      <c r="AT119" s="23">
        <v>14.7513006466507</v>
      </c>
      <c r="AU119" s="23">
        <v>12.686241075082499</v>
      </c>
      <c r="AV119" s="23">
        <v>4.2824356962614099</v>
      </c>
      <c r="AW119" s="23">
        <v>-1.9808979631977599</v>
      </c>
      <c r="AX119" s="23">
        <v>3.7845797089990501</v>
      </c>
      <c r="AY119" s="23">
        <v>-1.95626184609005</v>
      </c>
      <c r="AZ119" s="23">
        <v>3.04763763943641</v>
      </c>
      <c r="BA119" s="23">
        <v>-1.6415753400276301</v>
      </c>
      <c r="BB119" s="23">
        <v>3.0314549241545601</v>
      </c>
      <c r="BC119" s="23">
        <v>-1.91146238109611</v>
      </c>
      <c r="BD119" s="23">
        <v>1.95343553437841</v>
      </c>
      <c r="BE119" s="23">
        <v>-0.16503756542286199</v>
      </c>
      <c r="BF119" s="23">
        <v>1.9417829346483699</v>
      </c>
      <c r="BG119" s="23">
        <v>-0.18410118727970201</v>
      </c>
      <c r="BH119" s="23">
        <v>0.37150402993635701</v>
      </c>
      <c r="BI119" s="23">
        <v>7.1974450036948398E-2</v>
      </c>
      <c r="BJ119" s="23">
        <v>0.70268265994088697</v>
      </c>
      <c r="BK119" s="36">
        <v>-2.4805175716748701E-2</v>
      </c>
      <c r="BM119" s="35">
        <v>0.12614568935294801</v>
      </c>
      <c r="BN119" s="21">
        <v>57.100813873215699</v>
      </c>
      <c r="BO119" s="25">
        <v>0.12513959026377799</v>
      </c>
      <c r="BP119" s="21">
        <v>55.009895088928303</v>
      </c>
      <c r="BQ119" s="25">
        <v>0.12612162398849999</v>
      </c>
      <c r="BR119" s="21">
        <v>64.117552261680899</v>
      </c>
      <c r="BS119" s="25">
        <v>0.125113680561979</v>
      </c>
      <c r="BT119" s="32">
        <v>69.114526341913603</v>
      </c>
      <c r="BV119" s="37">
        <f>14063561/1000000</f>
        <v>14.063561</v>
      </c>
      <c r="BW119" s="2">
        <v>1000</v>
      </c>
      <c r="BX119" s="2">
        <v>750</v>
      </c>
      <c r="BY119" s="21">
        <v>9.9424721393609001</v>
      </c>
      <c r="BZ119" s="21">
        <v>39.741960549598097</v>
      </c>
      <c r="CA119" s="45">
        <v>1.0117753219685599E-5</v>
      </c>
      <c r="CB119" s="45">
        <v>6.0481023045610097E-3</v>
      </c>
      <c r="CC119" s="45">
        <v>1.52910815022037E-4</v>
      </c>
      <c r="CD119" s="45">
        <v>4.84768930475741E-4</v>
      </c>
      <c r="CE119" s="45">
        <v>2.9837980719843302E-4</v>
      </c>
      <c r="CF119" s="45">
        <v>4.0102522020004998E-4</v>
      </c>
      <c r="CG119" s="23"/>
      <c r="CH119" s="21">
        <v>28.015884399413999</v>
      </c>
      <c r="CI119" s="21"/>
      <c r="CJ119" s="38"/>
      <c r="CL119" s="88">
        <v>-0.98305866815652798</v>
      </c>
      <c r="CM119" s="2">
        <v>-264.78447159986899</v>
      </c>
      <c r="CN119" s="20">
        <v>-5.8989029026312902</v>
      </c>
    </row>
    <row r="120" spans="2:92" s="2" customFormat="1" x14ac:dyDescent="0.25">
      <c r="B120" s="2" t="s">
        <v>369</v>
      </c>
      <c r="C120" s="2" t="s">
        <v>365</v>
      </c>
      <c r="D120" s="20"/>
      <c r="E120" s="19">
        <v>48.3</v>
      </c>
      <c r="F120" s="2">
        <v>35</v>
      </c>
      <c r="G120" s="21">
        <v>0.99999999999999445</v>
      </c>
      <c r="H120" s="21">
        <v>0.78300000000000003</v>
      </c>
      <c r="I120" s="21">
        <v>0</v>
      </c>
      <c r="J120" s="21">
        <v>0</v>
      </c>
      <c r="K120" s="21">
        <f t="shared" si="24"/>
        <v>-0.49483333817118952</v>
      </c>
      <c r="L120" s="2">
        <v>0</v>
      </c>
      <c r="M120" s="20">
        <v>11</v>
      </c>
      <c r="N120" s="24">
        <v>112.603375189422</v>
      </c>
      <c r="O120" s="23">
        <v>-7.5433234432427998</v>
      </c>
      <c r="P120" s="23">
        <v>235.88292911781301</v>
      </c>
      <c r="Q120" s="23">
        <f t="shared" si="22"/>
        <v>66.290153021750669</v>
      </c>
      <c r="R120" s="23">
        <f t="shared" si="23"/>
        <v>169.59277609606232</v>
      </c>
      <c r="S120" s="25">
        <f t="shared" si="25"/>
        <v>2.09481224449098</v>
      </c>
      <c r="T120" s="21">
        <v>-0.51123436445673098</v>
      </c>
      <c r="U120" s="21">
        <v>-36.092047978136598</v>
      </c>
      <c r="V120" s="21">
        <v>-1.9206681067426301</v>
      </c>
      <c r="W120" s="21">
        <f t="shared" si="29"/>
        <v>50.62419711125716</v>
      </c>
      <c r="X120" s="32">
        <f t="shared" si="33"/>
        <v>28.102988745167607</v>
      </c>
      <c r="Y120" s="35">
        <f t="shared" si="28"/>
        <v>1.5193573984067732</v>
      </c>
      <c r="Z120" s="25">
        <f t="shared" si="32"/>
        <v>-0.1017820670365026</v>
      </c>
      <c r="AA120" s="25">
        <f t="shared" si="26"/>
        <v>3.1827684819404687</v>
      </c>
      <c r="AB120" s="25">
        <f t="shared" si="30"/>
        <v>-6.8980855382928781E-3</v>
      </c>
      <c r="AC120" s="25">
        <f t="shared" si="27"/>
        <v>-0.48699002163112287</v>
      </c>
      <c r="AD120" s="34">
        <f t="shared" si="31"/>
        <v>-2.5915575736112393E-2</v>
      </c>
      <c r="AF120" s="24">
        <v>4.5249787136115698</v>
      </c>
      <c r="AG120" s="23">
        <v>28.491464569217701</v>
      </c>
      <c r="AH120" s="23">
        <v>4.3049894486101703</v>
      </c>
      <c r="AI120" s="23">
        <v>27.105881134774901</v>
      </c>
      <c r="AJ120" s="23">
        <v>7.2872348121850399</v>
      </c>
      <c r="AK120" s="23">
        <v>50.0428314421208</v>
      </c>
      <c r="AL120" s="23">
        <v>41.810575151876201</v>
      </c>
      <c r="AM120" s="23">
        <v>76.556900846822501</v>
      </c>
      <c r="AN120" s="23">
        <v>7.2724982485859204</v>
      </c>
      <c r="AO120" s="23">
        <v>12.8236013835589</v>
      </c>
      <c r="AP120" s="23">
        <v>7.4694363183249104</v>
      </c>
      <c r="AQ120" s="23">
        <v>12.2624853493658</v>
      </c>
      <c r="AR120" s="23">
        <v>3.1083604422620899</v>
      </c>
      <c r="AS120" s="23">
        <v>33.989148057466203</v>
      </c>
      <c r="AT120" s="23">
        <v>14.3135797011574</v>
      </c>
      <c r="AU120" s="23">
        <v>8.5523583857396606</v>
      </c>
      <c r="AV120" s="23">
        <v>3.8746754045072</v>
      </c>
      <c r="AW120" s="23">
        <v>-2.0518649506447</v>
      </c>
      <c r="AX120" s="23">
        <v>5.0846544743797804</v>
      </c>
      <c r="AY120" s="23">
        <v>-1.78476765234336</v>
      </c>
      <c r="AZ120" s="23">
        <v>2.4874413520822598</v>
      </c>
      <c r="BA120" s="23">
        <v>-1.51345009798398</v>
      </c>
      <c r="BB120" s="23">
        <v>3.1029032838188702</v>
      </c>
      <c r="BC120" s="23">
        <v>-1.5897341379909</v>
      </c>
      <c r="BD120" s="23">
        <v>1.8753518496421799</v>
      </c>
      <c r="BE120" s="23">
        <v>-8.8799557569645998E-2</v>
      </c>
      <c r="BF120" s="23">
        <v>1.9521906652098999</v>
      </c>
      <c r="BG120" s="23">
        <v>-0.139144305442371</v>
      </c>
      <c r="BH120" s="23">
        <v>0.52918554626879699</v>
      </c>
      <c r="BI120" s="23">
        <v>-7.1915486128658807E-2</v>
      </c>
      <c r="BJ120" s="23">
        <v>0.58098381078959105</v>
      </c>
      <c r="BK120" s="36">
        <v>-0.18834810493148199</v>
      </c>
      <c r="BM120" s="35">
        <v>0.12497139481219401</v>
      </c>
      <c r="BN120" s="21">
        <v>55.795529090337801</v>
      </c>
      <c r="BO120" s="25">
        <v>0.12650732714792801</v>
      </c>
      <c r="BP120" s="21">
        <v>56.338110828622703</v>
      </c>
      <c r="BQ120" s="25">
        <v>0.124975712926691</v>
      </c>
      <c r="BR120" s="21">
        <v>68.351581059187893</v>
      </c>
      <c r="BS120" s="25">
        <v>0.12650262310402699</v>
      </c>
      <c r="BT120" s="32">
        <v>63.200961943051702</v>
      </c>
      <c r="BV120" s="37">
        <f>14081236/1000000</f>
        <v>14.081236000000001</v>
      </c>
      <c r="BW120" s="2">
        <v>1000</v>
      </c>
      <c r="BX120" s="2">
        <v>750</v>
      </c>
      <c r="BY120" s="21">
        <v>9.8614917960561197</v>
      </c>
      <c r="BZ120" s="21">
        <v>39.478301788803101</v>
      </c>
      <c r="CA120" s="45">
        <v>1.1800338999134899E-5</v>
      </c>
      <c r="CB120" s="45">
        <v>6.6087499685137099E-3</v>
      </c>
      <c r="CC120" s="45">
        <v>1.5926384609543499E-4</v>
      </c>
      <c r="CD120" s="45">
        <v>5.4113871712315104E-4</v>
      </c>
      <c r="CE120" s="45">
        <v>3.7370858136522299E-4</v>
      </c>
      <c r="CF120" s="45">
        <v>4.3804178202971601E-4</v>
      </c>
      <c r="CG120" s="23"/>
      <c r="CH120" s="21">
        <v>28.050621032714801</v>
      </c>
      <c r="CI120" s="21"/>
      <c r="CJ120" s="38"/>
      <c r="CL120" s="88">
        <v>1.7668493154025899</v>
      </c>
      <c r="CM120" s="2">
        <v>-261.17287518793597</v>
      </c>
      <c r="CN120" s="20">
        <v>4.1897256152217599</v>
      </c>
    </row>
    <row r="121" spans="2:92" s="2" customFormat="1" x14ac:dyDescent="0.25">
      <c r="B121" s="2" t="s">
        <v>371</v>
      </c>
      <c r="C121" s="2" t="s">
        <v>366</v>
      </c>
      <c r="D121" s="20"/>
      <c r="E121" s="19">
        <v>43.3</v>
      </c>
      <c r="F121" s="2">
        <v>27.3</v>
      </c>
      <c r="G121" s="21">
        <v>0.99999999999999445</v>
      </c>
      <c r="H121" s="21">
        <v>0.65500000000000003</v>
      </c>
      <c r="I121" s="21">
        <v>0</v>
      </c>
      <c r="J121" s="21">
        <v>0</v>
      </c>
      <c r="K121" s="21">
        <f t="shared" si="24"/>
        <v>-0.59529153612950847</v>
      </c>
      <c r="L121" s="2">
        <v>0</v>
      </c>
      <c r="M121" s="20">
        <v>11</v>
      </c>
      <c r="N121" s="24">
        <v>111.575182236617</v>
      </c>
      <c r="O121" s="23">
        <v>-7.4504827895989498</v>
      </c>
      <c r="P121" s="23">
        <v>237.428362922926</v>
      </c>
      <c r="Q121" s="23">
        <f t="shared" si="22"/>
        <v>65.552142010557858</v>
      </c>
      <c r="R121" s="23">
        <f t="shared" si="23"/>
        <v>171.87622091236815</v>
      </c>
      <c r="S121" s="25">
        <f t="shared" si="25"/>
        <v>2.1279675118021562</v>
      </c>
      <c r="T121" s="21">
        <v>-0.92486121379405895</v>
      </c>
      <c r="U121" s="21">
        <v>-38.6672040675018</v>
      </c>
      <c r="V121" s="21">
        <v>-1.02812414476893</v>
      </c>
      <c r="W121" s="21">
        <f t="shared" si="29"/>
        <v>50.465117341904296</v>
      </c>
      <c r="X121" s="32">
        <f t="shared" si="33"/>
        <v>27.609229665554906</v>
      </c>
      <c r="Y121" s="35">
        <f t="shared" si="28"/>
        <v>1.5054839903743225</v>
      </c>
      <c r="Z121" s="25">
        <f t="shared" si="32"/>
        <v>-0.10052936804990992</v>
      </c>
      <c r="AA121" s="25">
        <f t="shared" si="26"/>
        <v>3.2036210210548282</v>
      </c>
      <c r="AB121" s="25">
        <f t="shared" si="30"/>
        <v>-1.2479152825691467E-2</v>
      </c>
      <c r="AC121" s="25">
        <f t="shared" si="27"/>
        <v>-0.52173660404792432</v>
      </c>
      <c r="AD121" s="34">
        <f t="shared" si="31"/>
        <v>-1.3872479605585155E-2</v>
      </c>
      <c r="AF121" s="24">
        <v>4.5389109800508196</v>
      </c>
      <c r="AG121" s="23">
        <v>27.912375021648401</v>
      </c>
      <c r="AH121" s="23">
        <v>4.0779621572598197</v>
      </c>
      <c r="AI121" s="23">
        <v>24.9345539651518</v>
      </c>
      <c r="AJ121" s="23">
        <v>7.2457049988822</v>
      </c>
      <c r="AK121" s="23">
        <v>49.924071050346299</v>
      </c>
      <c r="AL121" s="23">
        <v>41.277270578612999</v>
      </c>
      <c r="AM121" s="23">
        <v>76.485496083291906</v>
      </c>
      <c r="AN121" s="23">
        <v>7.2878055673392703</v>
      </c>
      <c r="AO121" s="23">
        <v>12.469998641915501</v>
      </c>
      <c r="AP121" s="23">
        <v>7.1831546733093701</v>
      </c>
      <c r="AQ121" s="23">
        <v>11.9480021453648</v>
      </c>
      <c r="AR121" s="23">
        <v>3.2472282801144501</v>
      </c>
      <c r="AS121" s="23">
        <v>39.284454950236601</v>
      </c>
      <c r="AT121" s="23">
        <v>14.133803388865401</v>
      </c>
      <c r="AU121" s="23">
        <v>7.6415262196239198</v>
      </c>
      <c r="AV121" s="23">
        <v>4.0189332775333604</v>
      </c>
      <c r="AW121" s="23">
        <v>-1.9640630147004901</v>
      </c>
      <c r="AX121" s="23">
        <v>5.3492956909241798</v>
      </c>
      <c r="AY121" s="23">
        <v>-1.4213498509565701</v>
      </c>
      <c r="AZ121" s="23">
        <v>2.4812907023141801</v>
      </c>
      <c r="BA121" s="23">
        <v>-1.34612277973746</v>
      </c>
      <c r="BB121" s="23">
        <v>2.9960621592307501</v>
      </c>
      <c r="BC121" s="23">
        <v>-1.7247901750171599</v>
      </c>
      <c r="BD121" s="23">
        <v>1.8041698238858199</v>
      </c>
      <c r="BE121" s="23">
        <v>-0.26286420334596999</v>
      </c>
      <c r="BF121" s="23">
        <v>2.03334267579993</v>
      </c>
      <c r="BG121" s="23">
        <v>-5.00879691848551E-2</v>
      </c>
      <c r="BH121" s="23">
        <v>0.41207868117839802</v>
      </c>
      <c r="BI121" s="23">
        <v>-3.7163752710886601E-2</v>
      </c>
      <c r="BJ121" s="23">
        <v>0.54501295140084305</v>
      </c>
      <c r="BK121" s="36">
        <v>-6.9666880461752706E-2</v>
      </c>
      <c r="BM121" s="35">
        <v>0.12473332086410099</v>
      </c>
      <c r="BN121" s="21">
        <v>54.079016594235803</v>
      </c>
      <c r="BO121" s="25">
        <v>0.12593783357701299</v>
      </c>
      <c r="BP121" s="21">
        <v>56.601339201713998</v>
      </c>
      <c r="BQ121" s="25">
        <v>0.124706127849866</v>
      </c>
      <c r="BR121" s="21">
        <v>70.153300380123596</v>
      </c>
      <c r="BS121" s="25">
        <v>0.12590659600352799</v>
      </c>
      <c r="BT121" s="32">
        <v>65.583410454032602</v>
      </c>
      <c r="BV121" s="37">
        <f>14108964/1000000</f>
        <v>14.108964</v>
      </c>
      <c r="BW121" s="2">
        <v>1000</v>
      </c>
      <c r="BX121" s="2">
        <v>750</v>
      </c>
      <c r="BY121" s="21">
        <v>9.7046077577776799</v>
      </c>
      <c r="BZ121" s="21">
        <v>38.761708476794801</v>
      </c>
      <c r="CA121" s="45">
        <v>1.2805016941325499E-5</v>
      </c>
      <c r="CB121" s="45">
        <v>6.8216827826648504E-3</v>
      </c>
      <c r="CC121" s="45">
        <v>1.9244998462995E-4</v>
      </c>
      <c r="CD121" s="45">
        <v>6.3763247386068502E-4</v>
      </c>
      <c r="CE121" s="45">
        <v>3.97462357763815E-4</v>
      </c>
      <c r="CF121" s="45">
        <v>5.1911663013909501E-4</v>
      </c>
      <c r="CG121" s="23"/>
      <c r="CH121" s="21">
        <v>32.678733825683501</v>
      </c>
      <c r="CI121" s="21"/>
      <c r="CJ121" s="38"/>
      <c r="CL121" s="88">
        <v>1.3251845886648099</v>
      </c>
      <c r="CM121" s="2">
        <v>-264.68938020504697</v>
      </c>
      <c r="CN121" s="20">
        <v>5.0070649341177997</v>
      </c>
    </row>
    <row r="122" spans="2:92" s="2" customFormat="1" x14ac:dyDescent="0.25">
      <c r="D122" s="20"/>
      <c r="E122" s="19"/>
      <c r="G122" s="21"/>
      <c r="H122" s="21"/>
      <c r="I122" s="21"/>
      <c r="J122" s="21"/>
      <c r="K122" s="21" t="str">
        <f t="shared" si="24"/>
        <v/>
      </c>
      <c r="M122" s="20"/>
      <c r="N122" s="24"/>
      <c r="O122" s="23"/>
      <c r="P122" s="23"/>
      <c r="Q122" s="23" t="str">
        <f t="shared" si="22"/>
        <v/>
      </c>
      <c r="R122" s="23" t="str">
        <f t="shared" si="23"/>
        <v/>
      </c>
      <c r="S122" s="25" t="str">
        <f t="shared" si="25"/>
        <v/>
      </c>
      <c r="T122" s="21"/>
      <c r="U122" s="21"/>
      <c r="V122" s="21"/>
      <c r="W122" s="21" t="str">
        <f t="shared" si="29"/>
        <v/>
      </c>
      <c r="X122" s="32" t="str">
        <f t="shared" si="33"/>
        <v/>
      </c>
      <c r="Y122" s="35" t="str">
        <f t="shared" si="28"/>
        <v/>
      </c>
      <c r="Z122" s="25" t="str">
        <f t="shared" si="32"/>
        <v/>
      </c>
      <c r="AA122" s="25" t="str">
        <f t="shared" si="26"/>
        <v/>
      </c>
      <c r="AB122" s="25" t="str">
        <f t="shared" si="30"/>
        <v/>
      </c>
      <c r="AC122" s="25" t="str">
        <f t="shared" si="27"/>
        <v/>
      </c>
      <c r="AD122" s="34" t="str">
        <f t="shared" si="31"/>
        <v/>
      </c>
      <c r="AF122" s="24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  <c r="AX122" s="23"/>
      <c r="AY122" s="23"/>
      <c r="AZ122" s="23"/>
      <c r="BA122" s="23"/>
      <c r="BB122" s="23"/>
      <c r="BC122" s="23"/>
      <c r="BD122" s="23"/>
      <c r="BE122" s="23"/>
      <c r="BF122" s="23"/>
      <c r="BG122" s="23"/>
      <c r="BH122" s="23"/>
      <c r="BI122" s="23"/>
      <c r="BJ122" s="23"/>
      <c r="BK122" s="36"/>
      <c r="BM122" s="35"/>
      <c r="BN122" s="21"/>
      <c r="BO122" s="25"/>
      <c r="BP122" s="21"/>
      <c r="BQ122" s="25"/>
      <c r="BR122" s="21"/>
      <c r="BS122" s="25"/>
      <c r="BT122" s="32"/>
      <c r="BV122" s="37"/>
      <c r="BY122" s="21"/>
      <c r="BZ122" s="21"/>
      <c r="CA122" s="45"/>
      <c r="CB122" s="45"/>
      <c r="CC122" s="45"/>
      <c r="CD122" s="45"/>
      <c r="CE122" s="45"/>
      <c r="CF122" s="45"/>
      <c r="CG122" s="23"/>
      <c r="CH122" s="21"/>
      <c r="CI122" s="21"/>
      <c r="CJ122" s="38"/>
      <c r="CL122" s="88"/>
      <c r="CN122" s="20"/>
    </row>
    <row r="123" spans="2:92" s="2" customFormat="1" x14ac:dyDescent="0.25">
      <c r="D123" s="20"/>
      <c r="E123" s="19"/>
      <c r="G123" s="21"/>
      <c r="H123" s="21"/>
      <c r="I123" s="21"/>
      <c r="J123" s="21"/>
      <c r="K123" s="21" t="str">
        <f t="shared" si="24"/>
        <v/>
      </c>
      <c r="M123" s="20"/>
      <c r="N123" s="24"/>
      <c r="O123" s="23"/>
      <c r="P123" s="23"/>
      <c r="Q123" s="23" t="str">
        <f t="shared" si="22"/>
        <v/>
      </c>
      <c r="R123" s="23" t="str">
        <f t="shared" si="23"/>
        <v/>
      </c>
      <c r="S123" s="25" t="str">
        <f t="shared" si="25"/>
        <v/>
      </c>
      <c r="T123" s="21"/>
      <c r="U123" s="21"/>
      <c r="V123" s="21"/>
      <c r="W123" s="21" t="str">
        <f t="shared" si="29"/>
        <v/>
      </c>
      <c r="X123" s="32" t="str">
        <f t="shared" si="33"/>
        <v/>
      </c>
      <c r="Y123" s="35" t="str">
        <f t="shared" si="28"/>
        <v/>
      </c>
      <c r="Z123" s="25" t="str">
        <f t="shared" si="32"/>
        <v/>
      </c>
      <c r="AA123" s="25" t="str">
        <f t="shared" si="26"/>
        <v/>
      </c>
      <c r="AB123" s="25" t="str">
        <f t="shared" si="30"/>
        <v/>
      </c>
      <c r="AC123" s="25" t="str">
        <f t="shared" si="27"/>
        <v/>
      </c>
      <c r="AD123" s="34" t="str">
        <f t="shared" si="31"/>
        <v/>
      </c>
      <c r="AF123" s="24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23"/>
      <c r="AW123" s="23"/>
      <c r="AX123" s="23"/>
      <c r="AY123" s="23"/>
      <c r="AZ123" s="23"/>
      <c r="BA123" s="23"/>
      <c r="BB123" s="23"/>
      <c r="BC123" s="23"/>
      <c r="BD123" s="23"/>
      <c r="BE123" s="23"/>
      <c r="BF123" s="23"/>
      <c r="BG123" s="23"/>
      <c r="BH123" s="23"/>
      <c r="BI123" s="23"/>
      <c r="BJ123" s="23"/>
      <c r="BK123" s="36"/>
      <c r="BM123" s="35"/>
      <c r="BN123" s="21"/>
      <c r="BO123" s="25"/>
      <c r="BP123" s="21"/>
      <c r="BQ123" s="25"/>
      <c r="BR123" s="21"/>
      <c r="BS123" s="25"/>
      <c r="BT123" s="32"/>
      <c r="BV123" s="37"/>
      <c r="BY123" s="21"/>
      <c r="BZ123" s="21"/>
      <c r="CA123" s="45"/>
      <c r="CB123" s="45"/>
      <c r="CC123" s="45"/>
      <c r="CD123" s="45"/>
      <c r="CE123" s="45"/>
      <c r="CF123" s="45"/>
      <c r="CG123" s="23"/>
      <c r="CH123" s="21"/>
      <c r="CI123" s="21"/>
      <c r="CJ123" s="38"/>
      <c r="CL123" s="88"/>
      <c r="CN123" s="20"/>
    </row>
    <row r="124" spans="2:92" s="2" customFormat="1" x14ac:dyDescent="0.25">
      <c r="D124" s="20"/>
      <c r="E124" s="19"/>
      <c r="G124" s="21"/>
      <c r="H124" s="21"/>
      <c r="I124" s="21"/>
      <c r="J124" s="21"/>
      <c r="K124" s="21" t="str">
        <f t="shared" si="24"/>
        <v/>
      </c>
      <c r="M124" s="20"/>
      <c r="N124" s="24"/>
      <c r="O124" s="23"/>
      <c r="P124" s="23"/>
      <c r="Q124" s="23" t="str">
        <f t="shared" si="22"/>
        <v/>
      </c>
      <c r="R124" s="23" t="str">
        <f t="shared" si="23"/>
        <v/>
      </c>
      <c r="S124" s="25" t="str">
        <f t="shared" si="25"/>
        <v/>
      </c>
      <c r="T124" s="21"/>
      <c r="U124" s="21"/>
      <c r="V124" s="21"/>
      <c r="W124" s="21" t="str">
        <f t="shared" si="29"/>
        <v/>
      </c>
      <c r="X124" s="32" t="str">
        <f t="shared" si="33"/>
        <v/>
      </c>
      <c r="Y124" s="35" t="str">
        <f t="shared" si="28"/>
        <v/>
      </c>
      <c r="Z124" s="25" t="str">
        <f t="shared" si="32"/>
        <v/>
      </c>
      <c r="AA124" s="25" t="str">
        <f t="shared" si="26"/>
        <v/>
      </c>
      <c r="AB124" s="25" t="str">
        <f t="shared" si="30"/>
        <v/>
      </c>
      <c r="AC124" s="25" t="str">
        <f t="shared" si="27"/>
        <v/>
      </c>
      <c r="AD124" s="34" t="str">
        <f t="shared" si="31"/>
        <v/>
      </c>
      <c r="AF124" s="24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  <c r="AQ124" s="23"/>
      <c r="AR124" s="23"/>
      <c r="AS124" s="23"/>
      <c r="AT124" s="23"/>
      <c r="AU124" s="23"/>
      <c r="AV124" s="23"/>
      <c r="AW124" s="23"/>
      <c r="AX124" s="23"/>
      <c r="AY124" s="23"/>
      <c r="AZ124" s="23"/>
      <c r="BA124" s="23"/>
      <c r="BB124" s="23"/>
      <c r="BC124" s="23"/>
      <c r="BD124" s="23"/>
      <c r="BE124" s="23"/>
      <c r="BF124" s="23"/>
      <c r="BG124" s="23"/>
      <c r="BH124" s="23"/>
      <c r="BI124" s="23"/>
      <c r="BJ124" s="23"/>
      <c r="BK124" s="36"/>
      <c r="BM124" s="35"/>
      <c r="BN124" s="21"/>
      <c r="BO124" s="25"/>
      <c r="BP124" s="21"/>
      <c r="BQ124" s="25"/>
      <c r="BR124" s="21"/>
      <c r="BS124" s="25"/>
      <c r="BT124" s="32"/>
      <c r="BV124" s="37"/>
      <c r="BY124" s="21"/>
      <c r="BZ124" s="21"/>
      <c r="CA124" s="45"/>
      <c r="CB124" s="45"/>
      <c r="CC124" s="45"/>
      <c r="CD124" s="45"/>
      <c r="CE124" s="45"/>
      <c r="CF124" s="45"/>
      <c r="CG124" s="23"/>
      <c r="CH124" s="21"/>
      <c r="CI124" s="21"/>
      <c r="CJ124" s="38"/>
      <c r="CL124" s="88"/>
      <c r="CN124" s="20"/>
    </row>
    <row r="125" spans="2:92" x14ac:dyDescent="0.25"/>
  </sheetData>
  <mergeCells count="40">
    <mergeCell ref="BO4:BP4"/>
    <mergeCell ref="BW4:BX4"/>
    <mergeCell ref="Y4:AA4"/>
    <mergeCell ref="AB4:AD4"/>
    <mergeCell ref="CL2:CN3"/>
    <mergeCell ref="AF4:AG4"/>
    <mergeCell ref="AH4:AI4"/>
    <mergeCell ref="AT4:AU4"/>
    <mergeCell ref="AL4:AM4"/>
    <mergeCell ref="AN4:AO4"/>
    <mergeCell ref="AP4:AQ4"/>
    <mergeCell ref="AJ4:AK4"/>
    <mergeCell ref="AX4:AY4"/>
    <mergeCell ref="CL4:CN4"/>
    <mergeCell ref="AV4:AW4"/>
    <mergeCell ref="AZ4:BA4"/>
    <mergeCell ref="BB4:BC4"/>
    <mergeCell ref="BM4:BN4"/>
    <mergeCell ref="W4:X4"/>
    <mergeCell ref="N2:X3"/>
    <mergeCell ref="D5:D6"/>
    <mergeCell ref="E4:M4"/>
    <mergeCell ref="P4:R4"/>
    <mergeCell ref="T4:V4"/>
    <mergeCell ref="BV2:CJ3"/>
    <mergeCell ref="Y2:AD3"/>
    <mergeCell ref="AF3:AS3"/>
    <mergeCell ref="AR4:AS4"/>
    <mergeCell ref="BD4:BE4"/>
    <mergeCell ref="BM2:BT3"/>
    <mergeCell ref="BS4:BT4"/>
    <mergeCell ref="BF4:BG4"/>
    <mergeCell ref="CA4:CF4"/>
    <mergeCell ref="BH4:BI4"/>
    <mergeCell ref="BQ4:BR4"/>
    <mergeCell ref="BJ4:BK4"/>
    <mergeCell ref="AT3:AU3"/>
    <mergeCell ref="AF2:BK2"/>
    <mergeCell ref="AV3:BC3"/>
    <mergeCell ref="BD3:BK3"/>
  </mergeCells>
  <phoneticPr fontId="6" type="noConversion"/>
  <conditionalFormatting sqref="F106:J106 L106 K106:K124 O106:P106 T106:V106 Q106:S124 W106:W124 C106 B106:B116 BN7:BS106 CM7:CM106 AG7:BJ106 BW7:CI106 F7:L105 O7:W105 B7:C105 Z7:AC124">
    <cfRule type="expression" dxfId="59" priority="63">
      <formula>COUNTBLANK($B7:$M7)&lt;12</formula>
    </cfRule>
  </conditionalFormatting>
  <conditionalFormatting sqref="BK7 BM7 BT7 X7:Y7 AD7 AF7 D75 M7:N7 D7:E7 BV7 CJ7 CL7 CN7 X8:X56">
    <cfRule type="expression" dxfId="58" priority="64">
      <formula>COUNTBLANK($B7:$M7)=12</formula>
    </cfRule>
  </conditionalFormatting>
  <conditionalFormatting sqref="X57:Y124 AF8:AF16 AF18:AF106 BK8:BK16 BK18:BK106 BM8:BM16 BM18:BM106 BT8:BT16 BT18:BT106 BV8:BV16 BV18:BV106 CJ8:CJ16 CJ18:CJ106 CL8:CL16 CL18:CL106 CN8:CN16 CN18:CN106 Y8:Y16 Y18:Y56 M8:N16 M18:N106 AD8:AD16 AD18:AD124 D8:E16 D18:E106">
    <cfRule type="expression" dxfId="57" priority="60">
      <formula>AND(COUNTBLANK($B8:$M8)=12,COUNTBLANK($B7:$M7)&lt;12)</formula>
    </cfRule>
    <cfRule type="expression" dxfId="56" priority="61">
      <formula>COUNTBLANK($B8:$M8)=12</formula>
    </cfRule>
  </conditionalFormatting>
  <conditionalFormatting sqref="BN107:BS107 CM107 AG107:BJ107 BW107:CI107 F107:J107 O107:P107 C107 L107 T107:V107">
    <cfRule type="expression" dxfId="55" priority="57">
      <formula>COUNTBLANK($B107:$M107)&lt;12</formula>
    </cfRule>
  </conditionalFormatting>
  <conditionalFormatting sqref="AF107 BK107 BM107 BT107 BV107 CJ107 CL107 CN107 D107:E107 M107:N107">
    <cfRule type="expression" dxfId="54" priority="55">
      <formula>AND(COUNTBLANK($B107:$M107)=12,COUNTBLANK($B106:$M106)&lt;12)</formula>
    </cfRule>
    <cfRule type="expression" dxfId="53" priority="56">
      <formula>COUNTBLANK($B107:$M107)=12</formula>
    </cfRule>
  </conditionalFormatting>
  <conditionalFormatting sqref="BN108:BS108 CM108 AG108:BJ108 BW108:CI108 F108:J108 O108:P108 C108 L108 T108:V108">
    <cfRule type="expression" dxfId="52" priority="54">
      <formula>COUNTBLANK($B108:$M108)&lt;12</formula>
    </cfRule>
  </conditionalFormatting>
  <conditionalFormatting sqref="AF108 BK108 BM108 BT108 BV108 CJ108 CL108 CN108 D108:E108 M108:N108">
    <cfRule type="expression" dxfId="51" priority="52">
      <formula>AND(COUNTBLANK($B108:$M108)=12,COUNTBLANK($B107:$M107)&lt;12)</formula>
    </cfRule>
    <cfRule type="expression" dxfId="50" priority="53">
      <formula>COUNTBLANK($B108:$M108)=12</formula>
    </cfRule>
  </conditionalFormatting>
  <conditionalFormatting sqref="BN109:BS109 CM109 AG109:BJ109 BW109:CI109 F109:J109 O109:P109 C109 L109 T109:V109">
    <cfRule type="expression" dxfId="49" priority="51">
      <formula>COUNTBLANK($B109:$M109)&lt;12</formula>
    </cfRule>
  </conditionalFormatting>
  <conditionalFormatting sqref="AF109 BK109 BM109 BT109 BV109 CJ109 CL109 CN109 D109:E109 M109:N109">
    <cfRule type="expression" dxfId="48" priority="49">
      <formula>AND(COUNTBLANK($B109:$M109)=12,COUNTBLANK($B108:$M108)&lt;12)</formula>
    </cfRule>
    <cfRule type="expression" dxfId="47" priority="50">
      <formula>COUNTBLANK($B109:$M109)=12</formula>
    </cfRule>
  </conditionalFormatting>
  <conditionalFormatting sqref="BN110:BS110 CM110 AG110:BJ110 BW110:CI110 F110:J110 O110:P110 C110 L110 T110:V110">
    <cfRule type="expression" dxfId="46" priority="48">
      <formula>COUNTBLANK($B110:$M110)&lt;12</formula>
    </cfRule>
  </conditionalFormatting>
  <conditionalFormatting sqref="AF110 BK110 BM110 BT110 BV110 CJ110 CL110 CN110 D110:E110 M110:N110">
    <cfRule type="expression" dxfId="45" priority="46">
      <formula>AND(COUNTBLANK($B110:$M110)=12,COUNTBLANK($B109:$M109)&lt;12)</formula>
    </cfRule>
    <cfRule type="expression" dxfId="44" priority="47">
      <formula>COUNTBLANK($B110:$M110)=12</formula>
    </cfRule>
  </conditionalFormatting>
  <conditionalFormatting sqref="BN111:BS111 CM111 AG111:BJ111 BW111:CI111 F111:J111 O111:P111 C111 L111 T111:V111">
    <cfRule type="expression" dxfId="43" priority="45">
      <formula>COUNTBLANK($B111:$M111)&lt;12</formula>
    </cfRule>
  </conditionalFormatting>
  <conditionalFormatting sqref="AF111 BK111 BM111 BT111 BV111 CJ111 CL111 CN111 D111:E111 M111:N111">
    <cfRule type="expression" dxfId="42" priority="43">
      <formula>AND(COUNTBLANK($B111:$M111)=12,COUNTBLANK($B110:$M110)&lt;12)</formula>
    </cfRule>
    <cfRule type="expression" dxfId="41" priority="44">
      <formula>COUNTBLANK($B111:$M111)=12</formula>
    </cfRule>
  </conditionalFormatting>
  <conditionalFormatting sqref="BN112:BS112 CM112 AG112:BJ112 BW112:CI112 F112:J112 O112:P112 C112 L112 T112:V112">
    <cfRule type="expression" dxfId="40" priority="42">
      <formula>COUNTBLANK($B112:$M112)&lt;12</formula>
    </cfRule>
  </conditionalFormatting>
  <conditionalFormatting sqref="AF112 BK112 BM112 BT112 BV112 CJ112 CL112 CN112 D112:E112 M112:N112">
    <cfRule type="expression" dxfId="39" priority="40">
      <formula>AND(COUNTBLANK($B112:$M112)=12,COUNTBLANK($B111:$M111)&lt;12)</formula>
    </cfRule>
    <cfRule type="expression" dxfId="38" priority="41">
      <formula>COUNTBLANK($B112:$M112)=12</formula>
    </cfRule>
  </conditionalFormatting>
  <conditionalFormatting sqref="BN113:BS113 CM113 AG113:BJ113 BW113:CI113 F113:J113 O113:P113 C113 L113 T113:V113">
    <cfRule type="expression" dxfId="37" priority="39">
      <formula>COUNTBLANK($B113:$M113)&lt;12</formula>
    </cfRule>
  </conditionalFormatting>
  <conditionalFormatting sqref="AF113 BK113 BM113 BT113 BV113 CJ113 CL113 CN113 D113:E113 M113:N113">
    <cfRule type="expression" dxfId="36" priority="37">
      <formula>AND(COUNTBLANK($B113:$M113)=12,COUNTBLANK($B112:$M112)&lt;12)</formula>
    </cfRule>
    <cfRule type="expression" dxfId="35" priority="38">
      <formula>COUNTBLANK($B113:$M113)=12</formula>
    </cfRule>
  </conditionalFormatting>
  <conditionalFormatting sqref="BN114:BS114 CM114 AG114:BJ114 BW114:CI114 F114:J114 O114:P114 C114 L114 T114:V114">
    <cfRule type="expression" dxfId="34" priority="36">
      <formula>COUNTBLANK($B114:$M114)&lt;12</formula>
    </cfRule>
  </conditionalFormatting>
  <conditionalFormatting sqref="AF114 BK114 BM114 BT114 BV114 CJ114 CL114 CN114 D114:E114 M114:N114">
    <cfRule type="expression" dxfId="33" priority="34">
      <formula>AND(COUNTBLANK($B114:$M114)=12,COUNTBLANK($B113:$M113)&lt;12)</formula>
    </cfRule>
    <cfRule type="expression" dxfId="32" priority="35">
      <formula>COUNTBLANK($B114:$M114)=12</formula>
    </cfRule>
  </conditionalFormatting>
  <conditionalFormatting sqref="BN115:BS115 CM115 AG115:BJ115 BW115:CI115 F115:J115 O115:P115 C115 L115 T115:V115">
    <cfRule type="expression" dxfId="31" priority="33">
      <formula>COUNTBLANK($B115:$M115)&lt;12</formula>
    </cfRule>
  </conditionalFormatting>
  <conditionalFormatting sqref="AF115 BK115 BM115 BT115 BV115 CJ115 CL115 CN115 D115:E115 M115:N115">
    <cfRule type="expression" dxfId="30" priority="31">
      <formula>AND(COUNTBLANK($B115:$M115)=12,COUNTBLANK($B114:$M114)&lt;12)</formula>
    </cfRule>
    <cfRule type="expression" dxfId="29" priority="32">
      <formula>COUNTBLANK($B115:$M115)=12</formula>
    </cfRule>
  </conditionalFormatting>
  <conditionalFormatting sqref="BN116:BS116 CM116 AG116:BJ116 BW116:CI116 F116:J116 O116:P116 C116 L116 T116:V116">
    <cfRule type="expression" dxfId="28" priority="30">
      <formula>COUNTBLANK($B116:$M116)&lt;12</formula>
    </cfRule>
  </conditionalFormatting>
  <conditionalFormatting sqref="AF116 BK116 BM116 BT116 BV116 CJ116 CL116 CN116 D116:E116 M116:N116">
    <cfRule type="expression" dxfId="27" priority="28">
      <formula>AND(COUNTBLANK($B116:$M116)=12,COUNTBLANK($B115:$M115)&lt;12)</formula>
    </cfRule>
    <cfRule type="expression" dxfId="26" priority="29">
      <formula>COUNTBLANK($B116:$M116)=12</formula>
    </cfRule>
  </conditionalFormatting>
  <conditionalFormatting sqref="BN117:BS117 CM117 AG117:BJ117 BW117:CI117 F117:J117 O117:P117 B117:C117 L117 T117:V117">
    <cfRule type="expression" dxfId="25" priority="27">
      <formula>COUNTBLANK($B117:$M117)&lt;12</formula>
    </cfRule>
  </conditionalFormatting>
  <conditionalFormatting sqref="AF117 BK117 BM117 BT117 BV117 CJ117 CL117 CN117 D117:E117 M117:N117">
    <cfRule type="expression" dxfId="24" priority="25">
      <formula>AND(COUNTBLANK($B117:$M117)=12,COUNTBLANK($B116:$M116)&lt;12)</formula>
    </cfRule>
    <cfRule type="expression" dxfId="23" priority="26">
      <formula>COUNTBLANK($B117:$M117)=12</formula>
    </cfRule>
  </conditionalFormatting>
  <conditionalFormatting sqref="BN118:BS118 CM118 AG118:BJ118 BW118:CI118 F118:J118 O118:P118 B118:C118 L118 T118:V118">
    <cfRule type="expression" dxfId="22" priority="24">
      <formula>COUNTBLANK($B118:$M118)&lt;12</formula>
    </cfRule>
  </conditionalFormatting>
  <conditionalFormatting sqref="AF118 BK118 BM118 BT118 BV118 CJ118 CL118 CN118 D118:E118 M118:N118">
    <cfRule type="expression" dxfId="21" priority="22">
      <formula>AND(COUNTBLANK($B118:$M118)=12,COUNTBLANK($B117:$M117)&lt;12)</formula>
    </cfRule>
    <cfRule type="expression" dxfId="20" priority="23">
      <formula>COUNTBLANK($B118:$M118)=12</formula>
    </cfRule>
  </conditionalFormatting>
  <conditionalFormatting sqref="BN119:BS119 CM119 AG119:BJ119 BW119:CI119 F119:J119 O119:P119 B119:C119 L119 T119:V119">
    <cfRule type="expression" dxfId="19" priority="21">
      <formula>COUNTBLANK($B119:$M119)&lt;12</formula>
    </cfRule>
  </conditionalFormatting>
  <conditionalFormatting sqref="AF119 BK119 BM119 BT119 BV119 CJ119 CL119 CN119 D119:E119 M119:N119">
    <cfRule type="expression" dxfId="18" priority="19">
      <formula>AND(COUNTBLANK($B119:$M119)=12,COUNTBLANK($B118:$M118)&lt;12)</formula>
    </cfRule>
    <cfRule type="expression" dxfId="17" priority="20">
      <formula>COUNTBLANK($B119:$M119)=12</formula>
    </cfRule>
  </conditionalFormatting>
  <conditionalFormatting sqref="BN120:BS120 CM120 AG120:BJ120 BW120:CI120 F120:J120 O120:P120 B120:C120 L120 T120:V120">
    <cfRule type="expression" dxfId="16" priority="18">
      <formula>COUNTBLANK($B120:$M120)&lt;12</formula>
    </cfRule>
  </conditionalFormatting>
  <conditionalFormatting sqref="AF120 BK120 BM120 BT120 BV120 CJ120 CL120 CN120 D120:E120 M120:N120">
    <cfRule type="expression" dxfId="15" priority="16">
      <formula>AND(COUNTBLANK($B120:$M120)=12,COUNTBLANK($B119:$M119)&lt;12)</formula>
    </cfRule>
    <cfRule type="expression" dxfId="14" priority="17">
      <formula>COUNTBLANK($B120:$M120)=12</formula>
    </cfRule>
  </conditionalFormatting>
  <conditionalFormatting sqref="BN121:BS121 CM121 AG121:BJ121 BW121:CI121 F121:J121 O121:P121 B121:C121 L121 T121:V121">
    <cfRule type="expression" dxfId="13" priority="15">
      <formula>COUNTBLANK($B121:$M121)&lt;12</formula>
    </cfRule>
  </conditionalFormatting>
  <conditionalFormatting sqref="AF121 BK121 BM121 BT121 BV121 CJ121 CL121 CN121 D121:E121 M121:N121">
    <cfRule type="expression" dxfId="12" priority="13">
      <formula>AND(COUNTBLANK($B121:$M121)=12,COUNTBLANK($B120:$M120)&lt;12)</formula>
    </cfRule>
    <cfRule type="expression" dxfId="11" priority="14">
      <formula>COUNTBLANK($B121:$M121)=12</formula>
    </cfRule>
  </conditionalFormatting>
  <conditionalFormatting sqref="BN122:BS122 CM122 AG122:BJ122 BW122:CI122 F122:J122 O122:P122 B122:C122 L122 T122:V122">
    <cfRule type="expression" dxfId="10" priority="12">
      <formula>COUNTBLANK($B122:$M122)&lt;12</formula>
    </cfRule>
  </conditionalFormatting>
  <conditionalFormatting sqref="AF122 BK122 BM122 BT122 BV122 CJ122 CL122 CN122 D122:E122 M122:N122">
    <cfRule type="expression" dxfId="9" priority="10">
      <formula>AND(COUNTBLANK($B122:$M122)=12,COUNTBLANK($B121:$M121)&lt;12)</formula>
    </cfRule>
    <cfRule type="expression" dxfId="8" priority="11">
      <formula>COUNTBLANK($B122:$M122)=12</formula>
    </cfRule>
  </conditionalFormatting>
  <conditionalFormatting sqref="BN123:BS123 CM123 AG123:BJ123 BW123:CI123 F123:J123 O123:P123 B123:C123 L123 T123:V123">
    <cfRule type="expression" dxfId="7" priority="9">
      <formula>COUNTBLANK($B123:$M123)&lt;12</formula>
    </cfRule>
  </conditionalFormatting>
  <conditionalFormatting sqref="AF123 BK123 BM123 BT123 BV123 CJ123 CL123 CN123 D123:E123 M123:N123">
    <cfRule type="expression" dxfId="6" priority="7">
      <formula>AND(COUNTBLANK($B123:$M123)=12,COUNTBLANK($B122:$M122)&lt;12)</formula>
    </cfRule>
    <cfRule type="expression" dxfId="5" priority="8">
      <formula>COUNTBLANK($B123:$M123)=12</formula>
    </cfRule>
  </conditionalFormatting>
  <conditionalFormatting sqref="BN124:BS124 CM124 AG124:BJ124 BW124:CI124 F124:J124 O124:P124 B124:C124 L124 T124:V124">
    <cfRule type="expression" dxfId="4" priority="3">
      <formula>COUNTBLANK($B124:$M124)&lt;12</formula>
    </cfRule>
  </conditionalFormatting>
  <conditionalFormatting sqref="AF124 BK124 BM124 BT124 BV124 CJ124 CL124 CN124 D124:E124 M124:N124">
    <cfRule type="expression" dxfId="3" priority="1">
      <formula>AND(COUNTBLANK($B124:$M124)=12,COUNTBLANK($B123:$M123)&lt;12)</formula>
    </cfRule>
    <cfRule type="expression" dxfId="2" priority="2">
      <formula>COUNTBLANK($B124:$M124)=12</formula>
    </cfRule>
  </conditionalFormatting>
  <conditionalFormatting sqref="AF17 BK17 BM17 BT17 BV17 CJ17 CL17 CN17 Y17 M17:N17 AD17 D17:E17">
    <cfRule type="expression" dxfId="1" priority="85">
      <formula>AND(COUNTBLANK($B17:$M17)=12,COUNTBLANK(#REF!)&lt;12)</formula>
    </cfRule>
    <cfRule type="expression" dxfId="0" priority="86">
      <formula>COUNTBLANK($B17:$M17)=12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Import_Data_Reports">
                <anchor moveWithCells="1" sizeWithCells="1">
                  <from>
                    <xdr:col>3</xdr:col>
                    <xdr:colOff>38100</xdr:colOff>
                    <xdr:row>2</xdr:row>
                    <xdr:rowOff>123825</xdr:rowOff>
                  </from>
                  <to>
                    <xdr:col>3</xdr:col>
                    <xdr:colOff>2209800</xdr:colOff>
                    <xdr:row>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CFD-Simulations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Utilizador</dc:creator>
  <cp:lastModifiedBy>João Morgado</cp:lastModifiedBy>
  <dcterms:created xsi:type="dcterms:W3CDTF">2021-03-31T14:10:51Z</dcterms:created>
  <dcterms:modified xsi:type="dcterms:W3CDTF">2022-05-23T12:22:46Z</dcterms:modified>
</cp:coreProperties>
</file>